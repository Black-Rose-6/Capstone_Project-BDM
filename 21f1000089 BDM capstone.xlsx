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7.xml"/>
  <Override ContentType="application/vnd.openxmlformats-officedocument.drawingml.chart+xml" PartName="/xl/charts/chart27.xml"/>
  <Override ContentType="application/vnd.openxmlformats-officedocument.drawingml.chart+xml" PartName="/xl/charts/chart14.xml"/>
  <Override ContentType="application/vnd.openxmlformats-officedocument.drawingml.chart+xml" PartName="/xl/charts/chart30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26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8.xml"/>
  <Override ContentType="application/vnd.openxmlformats-officedocument.drawingml.chart+xml" PartName="/xl/charts/chart17.xml"/>
  <Override ContentType="application/vnd.openxmlformats-officedocument.drawingml.chart+xml" PartName="/xl/charts/chart25.xml"/>
  <Override ContentType="application/vnd.openxmlformats-officedocument.drawingml.chart+xml" PartName="/xl/charts/chart12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29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24.xml"/>
  <Override ContentType="application/vnd.openxmlformats-officedocument.drawingml.chart+xml" PartName="/xl/charts/chart1.xml"/>
  <Override ContentType="application/vnd.openxmlformats-officedocument.drawingml.chart+xml" PartName="/xl/charts/chart28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5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5.xml"/>
  <Override ContentType="application/vnd.openxmlformats-officedocument.drawingml.chart+xml" PartName="/xl/charts/chart2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" sheetId="1" r:id="rId4"/>
    <sheet state="visible" name="PURCHASE" sheetId="2" r:id="rId5"/>
    <sheet state="visible" name="INVENTORY" sheetId="3" r:id="rId6"/>
    <sheet state="visible" name="Profit  Loss" sheetId="4" r:id="rId7"/>
    <sheet state="visible" name="PL &amp; INSIGHTS" sheetId="5" r:id="rId8"/>
  </sheets>
  <definedNames/>
  <calcPr/>
</workbook>
</file>

<file path=xl/sharedStrings.xml><?xml version="1.0" encoding="utf-8"?>
<sst xmlns="http://schemas.openxmlformats.org/spreadsheetml/2006/main" count="263" uniqueCount="97">
  <si>
    <t>SALES</t>
  </si>
  <si>
    <t>SELLING PRICE</t>
  </si>
  <si>
    <t>REVENUE</t>
  </si>
  <si>
    <t>DATE</t>
  </si>
  <si>
    <t>RICE</t>
  </si>
  <si>
    <t>ATTA</t>
  </si>
  <si>
    <t>TOOR DAL</t>
  </si>
  <si>
    <t>MOONG DAL</t>
  </si>
  <si>
    <t>URAD DAL</t>
  </si>
  <si>
    <t>SUGAR</t>
  </si>
  <si>
    <t>COOKING OIL</t>
  </si>
  <si>
    <t>GHEE</t>
  </si>
  <si>
    <t>MILK &amp; DAIRY</t>
  </si>
  <si>
    <t>DRY FRUITS</t>
  </si>
  <si>
    <t>TOTAL REVENUE</t>
  </si>
  <si>
    <t>AVERAGE REVENUE</t>
  </si>
  <si>
    <t>S.D</t>
  </si>
  <si>
    <t>SALES TREND</t>
  </si>
  <si>
    <t>MIN</t>
  </si>
  <si>
    <t>MAX</t>
  </si>
  <si>
    <t>PURCHASE</t>
  </si>
  <si>
    <t>PURCHASE PRICE</t>
  </si>
  <si>
    <t>EXPENDITURE</t>
  </si>
  <si>
    <t>TOTAL EXPENDOTURE</t>
  </si>
  <si>
    <t>AVG PRICE--&gt;</t>
  </si>
  <si>
    <t>TOTAL AVG=</t>
  </si>
  <si>
    <t>Initial Inventory</t>
  </si>
  <si>
    <t xml:space="preserve">End Inventory </t>
  </si>
  <si>
    <t>Final Expenditure</t>
  </si>
  <si>
    <t>CP</t>
  </si>
  <si>
    <t>INVENTORY</t>
  </si>
  <si>
    <t>TOTAL DAILY INVENTORY</t>
  </si>
  <si>
    <t>AVERAGE DAILY TOTAL INVENTORY</t>
  </si>
  <si>
    <t>AVERAGE INVENTORY</t>
  </si>
  <si>
    <t>AVG. INVENTORY(IN Rs.)</t>
  </si>
  <si>
    <t>INVENTORY TRENDS</t>
  </si>
  <si>
    <t>Avg Purchase Price</t>
  </si>
  <si>
    <t>Avg Selling Price</t>
  </si>
  <si>
    <t xml:space="preserve">Avg Profit </t>
  </si>
  <si>
    <t>PRODUCT</t>
  </si>
  <si>
    <t>P/L</t>
  </si>
  <si>
    <t>REVENUE (SALES)</t>
  </si>
  <si>
    <t>% OF TOTAL PROFIT</t>
  </si>
  <si>
    <t>% OF TOTAL REVENUE</t>
  </si>
  <si>
    <t>PROFIT MARGIN %</t>
  </si>
  <si>
    <t>Cumulative Profit %</t>
  </si>
  <si>
    <t>TOTAL SALES</t>
  </si>
  <si>
    <t>PROFIT / LOSS</t>
  </si>
  <si>
    <t xml:space="preserve"> </t>
  </si>
  <si>
    <t>FIXED COST ANALYSIS</t>
  </si>
  <si>
    <t>COST</t>
  </si>
  <si>
    <t>RATE OF DEPRICIATION</t>
  </si>
  <si>
    <t>DEPRICIATION</t>
  </si>
  <si>
    <t>FURNITURE</t>
  </si>
  <si>
    <t>FREEZER</t>
  </si>
  <si>
    <t>CONTAINERS</t>
  </si>
  <si>
    <t>DELIVERY VEHICLES</t>
  </si>
  <si>
    <t>PETROL/TRANSPORT</t>
  </si>
  <si>
    <t>RENT</t>
  </si>
  <si>
    <t>ELECTRICITY</t>
  </si>
  <si>
    <t>CARRY BAGS</t>
  </si>
  <si>
    <t>EMI</t>
  </si>
  <si>
    <t xml:space="preserve">TOTAL FIXED COST </t>
  </si>
  <si>
    <t>TOTAL NORMALISED FIXED COST</t>
  </si>
  <si>
    <t>BALENCE SHEET AND KEY INSIGHTS</t>
  </si>
  <si>
    <t>VARIABLES</t>
  </si>
  <si>
    <t>VALUE</t>
  </si>
  <si>
    <t>IDEAL NUMBERS</t>
  </si>
  <si>
    <t>REMARK</t>
  </si>
  <si>
    <t>-</t>
  </si>
  <si>
    <t>FARELY GOOD</t>
  </si>
  <si>
    <t>VARIABLE COSTS</t>
  </si>
  <si>
    <t>GROSS PROFIT</t>
  </si>
  <si>
    <t>NORMALISED FIXED COSTS</t>
  </si>
  <si>
    <t>MAJORLY FROM MONTHLY FIXED EXPENSES</t>
  </si>
  <si>
    <t>INVENTORY TURNOVER RATIO</t>
  </si>
  <si>
    <t>NET PROFIT</t>
  </si>
  <si>
    <t>GROSS PROFIT RATIO</t>
  </si>
  <si>
    <t>12% -14%</t>
  </si>
  <si>
    <t>NET PROFIT RATIO</t>
  </si>
  <si>
    <t>7%-8%</t>
  </si>
  <si>
    <t>FARELY GOOD FOR A GENERAL STORE</t>
  </si>
  <si>
    <t>FIXED ASSETS</t>
  </si>
  <si>
    <t>CURRENT ASSETS</t>
  </si>
  <si>
    <t>i.e. STOCK + CASH</t>
  </si>
  <si>
    <t>TOTAL ASSETS</t>
  </si>
  <si>
    <t>ASSETS TURNOVER RATIO</t>
  </si>
  <si>
    <t>FARELY GOOD FOR THAT FIELD</t>
  </si>
  <si>
    <t>LIABELITIES</t>
  </si>
  <si>
    <t>CURRENT RATIO</t>
  </si>
  <si>
    <t>1+</t>
  </si>
  <si>
    <t>A CURRENT RATIO OF 0.07 IS VERY LESS FOR A COMPANY, BUT FOR A KIRANA STORE, I THINK ITS THOUGH TO CROSS 0.5. SO ITS FARELY GOOD.</t>
  </si>
  <si>
    <t>RETURN ON CAPITAL EMPLOYED</t>
  </si>
  <si>
    <t>ROCE=NET PROFIT/ CURRENT ASSETS.SINCE THE LIABILITIES ARE HIGH, THE CURRENT ASSETS IS LOW AND HENCE THE ROCE IS HIGH.</t>
  </si>
  <si>
    <t>RETURN ON ASSETS</t>
  </si>
  <si>
    <t>5% - 10%</t>
  </si>
  <si>
    <t>SINE HE DOES NOT OWN ANY MAJOR ASSETS OTHER THAN A VEHICLE AND FURNITURE, THE RETURN ON ASSETS IS HIGH.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</si>
</sst>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₹]#,##0"/>
    <numFmt numFmtId="165" formatCode="0.0"/>
    <numFmt numFmtId="166" formatCode="0.0%"/>
  </numFmts>
  <fonts count="9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b/>
      <sz val="18.0"/>
      <color theme="1"/>
      <name val="Arial"/>
    </font>
    <font>
      <color rgb="FF202124"/>
      <name val="Roboto"/>
    </font>
    <font>
      <sz val="11.0"/>
      <color rgb="FF7E3794"/>
      <name val="Inconsolata"/>
    </font>
    <font>
      <b/>
      <sz val="12.0"/>
      <color theme="1"/>
      <name val="Arial"/>
    </font>
    <font/>
  </fonts>
  <fills count="22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B6D7A8"/>
        <bgColor rgb="FFB6D7A8"/>
      </patternFill>
    </fill>
    <fill>
      <patternFill patternType="solid">
        <fgColor theme="7"/>
        <bgColor theme="7"/>
      </patternFill>
    </fill>
    <fill>
      <patternFill patternType="solid">
        <fgColor rgb="FFE06666"/>
        <bgColor rgb="FFE06666"/>
      </patternFill>
    </fill>
    <fill>
      <patternFill patternType="solid">
        <fgColor rgb="FFC9DAF8"/>
        <bgColor rgb="FFC9DAF8"/>
      </patternFill>
    </fill>
    <fill>
      <patternFill patternType="solid">
        <fgColor rgb="FFEFEFEF"/>
        <bgColor rgb="FFEFEFEF"/>
      </patternFill>
    </fill>
    <fill>
      <patternFill patternType="solid">
        <fgColor theme="8"/>
        <bgColor theme="8"/>
      </patternFill>
    </fill>
    <fill>
      <patternFill patternType="solid">
        <fgColor rgb="FFF9CB9C"/>
        <bgColor rgb="FFF9CB9C"/>
      </patternFill>
    </fill>
    <fill>
      <patternFill patternType="solid">
        <fgColor rgb="FFFFD966"/>
        <bgColor rgb="FFFFD966"/>
      </patternFill>
    </fill>
    <fill>
      <patternFill patternType="solid">
        <fgColor rgb="FFE69138"/>
        <bgColor rgb="FFE69138"/>
      </patternFill>
    </fill>
    <fill>
      <patternFill patternType="solid">
        <fgColor rgb="FFA4C2F4"/>
        <bgColor rgb="FFA4C2F4"/>
      </patternFill>
    </fill>
    <fill>
      <patternFill patternType="solid">
        <fgColor rgb="FFFFE599"/>
        <bgColor rgb="FFFFE599"/>
      </patternFill>
    </fill>
    <fill>
      <patternFill patternType="solid">
        <fgColor rgb="FFCFE2F3"/>
        <bgColor rgb="FFCFE2F3"/>
      </patternFill>
    </fill>
    <fill>
      <patternFill patternType="solid">
        <fgColor rgb="FFD0E0E3"/>
        <bgColor rgb="FFD0E0E3"/>
      </patternFill>
    </fill>
    <fill>
      <patternFill patternType="solid">
        <fgColor rgb="FFA2C4C9"/>
        <bgColor rgb="FFA2C4C9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3" fontId="1" numFmtId="0" xfId="0" applyAlignment="1" applyFill="1" applyFont="1">
      <alignment horizontal="center"/>
    </xf>
    <xf borderId="0" fillId="3" fontId="1" numFmtId="0" xfId="0" applyAlignment="1" applyFont="1">
      <alignment horizontal="center" readingOrder="0"/>
    </xf>
    <xf borderId="0" fillId="3" fontId="1" numFmtId="14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0" fillId="4" fontId="2" numFmtId="164" xfId="0" applyAlignment="1" applyFill="1" applyFont="1" applyNumberFormat="1">
      <alignment horizontal="center" vertical="bottom"/>
    </xf>
    <xf borderId="0" fillId="0" fontId="2" numFmtId="164" xfId="0" applyAlignment="1" applyFont="1" applyNumberFormat="1">
      <alignment horizontal="center"/>
    </xf>
    <xf borderId="0" fillId="2" fontId="2" numFmtId="164" xfId="0" applyAlignment="1" applyFont="1" applyNumberFormat="1">
      <alignment horizontal="center"/>
    </xf>
    <xf borderId="0" fillId="5" fontId="1" numFmtId="0" xfId="0" applyAlignment="1" applyFill="1" applyFont="1">
      <alignment horizontal="center"/>
    </xf>
    <xf borderId="0" fillId="6" fontId="2" numFmtId="1" xfId="0" applyAlignment="1" applyFill="1" applyFont="1" applyNumberFormat="1">
      <alignment horizontal="center"/>
    </xf>
    <xf borderId="0" fillId="7" fontId="2" numFmtId="164" xfId="0" applyAlignment="1" applyFill="1" applyFont="1" applyNumberFormat="1">
      <alignment horizontal="center"/>
    </xf>
    <xf borderId="0" fillId="8" fontId="2" numFmtId="164" xfId="0" applyAlignment="1" applyFill="1" applyFont="1" applyNumberFormat="1">
      <alignment horizontal="center"/>
    </xf>
    <xf borderId="0" fillId="9" fontId="2" numFmtId="164" xfId="0" applyAlignment="1" applyFill="1" applyFont="1" applyNumberFormat="1">
      <alignment horizontal="center"/>
    </xf>
    <xf borderId="0" fillId="9" fontId="2" numFmtId="0" xfId="0" applyAlignment="1" applyFont="1">
      <alignment horizontal="center" readingOrder="0"/>
    </xf>
    <xf borderId="0" fillId="10" fontId="2" numFmtId="0" xfId="0" applyAlignment="1" applyFill="1" applyFont="1">
      <alignment horizontal="center"/>
    </xf>
    <xf borderId="0" fillId="10" fontId="2" numFmtId="164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10" fontId="2" numFmtId="2" xfId="0" applyAlignment="1" applyFont="1" applyNumberFormat="1">
      <alignment horizontal="center"/>
    </xf>
    <xf borderId="0" fillId="0" fontId="4" numFmtId="0" xfId="0" applyAlignment="1" applyFont="1">
      <alignment horizontal="center"/>
    </xf>
    <xf borderId="0" fillId="0" fontId="2" numFmtId="10" xfId="0" applyAlignment="1" applyFont="1" applyNumberFormat="1">
      <alignment horizontal="center"/>
    </xf>
    <xf borderId="0" fillId="0" fontId="3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5" fontId="5" numFmtId="0" xfId="0" applyAlignment="1" applyFont="1">
      <alignment horizontal="center" readingOrder="0"/>
    </xf>
    <xf borderId="0" fillId="11" fontId="1" numFmtId="0" xfId="0" applyAlignment="1" applyFill="1" applyFont="1">
      <alignment horizontal="center" readingOrder="0"/>
    </xf>
    <xf borderId="0" fillId="11" fontId="1" numFmtId="0" xfId="0" applyAlignment="1" applyFont="1">
      <alignment horizontal="center"/>
    </xf>
    <xf borderId="0" fillId="12" fontId="2" numFmtId="0" xfId="0" applyAlignment="1" applyFill="1" applyFont="1">
      <alignment horizontal="center"/>
    </xf>
    <xf borderId="0" fillId="12" fontId="2" numFmtId="164" xfId="0" applyAlignment="1" applyFont="1" applyNumberFormat="1">
      <alignment horizontal="center"/>
    </xf>
    <xf borderId="0" fillId="11" fontId="2" numFmtId="164" xfId="0" applyAlignment="1" applyFont="1" applyNumberFormat="1">
      <alignment horizontal="center"/>
    </xf>
    <xf borderId="0" fillId="3" fontId="2" numFmtId="0" xfId="0" applyAlignment="1" applyFont="1">
      <alignment horizontal="center"/>
    </xf>
    <xf borderId="0" fillId="3" fontId="2" numFmtId="164" xfId="0" applyAlignment="1" applyFont="1" applyNumberFormat="1">
      <alignment horizontal="center"/>
    </xf>
    <xf borderId="0" fillId="13" fontId="2" numFmtId="164" xfId="0" applyAlignment="1" applyFill="1" applyFont="1" applyNumberFormat="1">
      <alignment horizontal="center"/>
    </xf>
    <xf borderId="0" fillId="2" fontId="2" numFmtId="0" xfId="0" applyAlignment="1" applyFont="1">
      <alignment horizontal="center"/>
    </xf>
    <xf borderId="0" fillId="14" fontId="2" numFmtId="164" xfId="0" applyAlignment="1" applyFill="1" applyFont="1" applyNumberFormat="1">
      <alignment horizontal="center"/>
    </xf>
    <xf borderId="0" fillId="10" fontId="2" numFmtId="0" xfId="0" applyAlignment="1" applyFont="1">
      <alignment horizontal="center" readingOrder="0"/>
    </xf>
    <xf borderId="0" fillId="5" fontId="2" numFmtId="164" xfId="0" applyAlignment="1" applyFont="1" applyNumberFormat="1">
      <alignment horizontal="center"/>
    </xf>
    <xf borderId="0" fillId="15" fontId="3" numFmtId="0" xfId="0" applyAlignment="1" applyFill="1" applyFont="1">
      <alignment horizontal="center" readingOrder="0"/>
    </xf>
    <xf borderId="0" fillId="3" fontId="3" numFmtId="0" xfId="0" applyAlignment="1" applyFont="1">
      <alignment horizontal="center" readingOrder="0"/>
    </xf>
    <xf borderId="0" fillId="16" fontId="2" numFmtId="164" xfId="0" applyAlignment="1" applyFill="1" applyFont="1" applyNumberFormat="1">
      <alignment horizontal="center"/>
    </xf>
    <xf borderId="0" fillId="12" fontId="2" numFmtId="0" xfId="0" applyAlignment="1" applyFont="1">
      <alignment horizontal="center" vertical="bottom"/>
    </xf>
    <xf borderId="0" fillId="0" fontId="2" numFmtId="165" xfId="0" applyAlignment="1" applyFont="1" applyNumberFormat="1">
      <alignment horizontal="center"/>
    </xf>
    <xf borderId="0" fillId="9" fontId="2" numFmtId="0" xfId="0" applyAlignment="1" applyFont="1">
      <alignment horizontal="center"/>
    </xf>
    <xf borderId="0" fillId="13" fontId="2" numFmtId="2" xfId="0" applyAlignment="1" applyFont="1" applyNumberFormat="1">
      <alignment horizontal="center"/>
    </xf>
    <xf borderId="0" fillId="0" fontId="2" numFmtId="1" xfId="0" applyAlignment="1" applyFont="1" applyNumberFormat="1">
      <alignment horizontal="center"/>
    </xf>
    <xf borderId="0" fillId="15" fontId="2" numFmtId="0" xfId="0" applyAlignment="1" applyFont="1">
      <alignment horizontal="center"/>
    </xf>
    <xf borderId="0" fillId="15" fontId="2" numFmtId="164" xfId="0" applyAlignment="1" applyFont="1" applyNumberFormat="1">
      <alignment horizontal="center"/>
    </xf>
    <xf borderId="0" fillId="0" fontId="2" numFmtId="1" xfId="0" applyFont="1" applyNumberFormat="1"/>
    <xf borderId="0" fillId="0" fontId="4" numFmtId="0" xfId="0" applyFont="1"/>
    <xf borderId="0" fillId="0" fontId="3" numFmtId="1" xfId="0" applyAlignment="1" applyFont="1" applyNumberFormat="1">
      <alignment horizontal="center"/>
    </xf>
    <xf borderId="0" fillId="0" fontId="2" numFmtId="0" xfId="0" applyAlignment="1" applyFont="1">
      <alignment horizontal="center" readingOrder="0"/>
    </xf>
    <xf borderId="0" fillId="0" fontId="2" numFmtId="9" xfId="0" applyAlignment="1" applyFont="1" applyNumberFormat="1">
      <alignment horizontal="center"/>
    </xf>
    <xf borderId="0" fillId="0" fontId="2" numFmtId="166" xfId="0" applyAlignment="1" applyFont="1" applyNumberFormat="1">
      <alignment horizontal="center"/>
    </xf>
    <xf borderId="0" fillId="5" fontId="6" numFmtId="164" xfId="0" applyAlignment="1" applyFont="1" applyNumberFormat="1">
      <alignment horizontal="center"/>
    </xf>
    <xf borderId="0" fillId="6" fontId="2" numFmtId="10" xfId="0" applyAlignment="1" applyFont="1" applyNumberFormat="1">
      <alignment horizontal="center"/>
    </xf>
    <xf borderId="0" fillId="0" fontId="3" numFmtId="10" xfId="0" applyAlignment="1" applyFont="1" applyNumberFormat="1">
      <alignment horizontal="center"/>
    </xf>
    <xf borderId="0" fillId="17" fontId="2" numFmtId="0" xfId="0" applyAlignment="1" applyFill="1" applyFont="1">
      <alignment horizontal="center" vertical="bottom"/>
    </xf>
    <xf borderId="0" fillId="17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11" fontId="1" numFmtId="0" xfId="0" applyAlignment="1" applyFont="1">
      <alignment horizontal="center" vertical="bottom"/>
    </xf>
    <xf borderId="0" fillId="3" fontId="1" numFmtId="0" xfId="0" applyAlignment="1" applyFont="1">
      <alignment horizontal="center" vertical="bottom"/>
    </xf>
    <xf borderId="0" fillId="4" fontId="2" numFmtId="0" xfId="0" applyAlignment="1" applyFont="1">
      <alignment horizontal="center" vertical="bottom"/>
    </xf>
    <xf borderId="0" fillId="4" fontId="2" numFmtId="9" xfId="0" applyAlignment="1" applyFont="1" applyNumberFormat="1">
      <alignment horizontal="center" vertical="bottom"/>
    </xf>
    <xf borderId="0" fillId="8" fontId="1" numFmtId="0" xfId="0" applyAlignment="1" applyFont="1">
      <alignment horizontal="center" vertical="bottom"/>
    </xf>
    <xf borderId="0" fillId="18" fontId="2" numFmtId="0" xfId="0" applyAlignment="1" applyFill="1" applyFont="1">
      <alignment horizontal="center" vertical="bottom"/>
    </xf>
    <xf borderId="0" fillId="18" fontId="2" numFmtId="9" xfId="0" applyAlignment="1" applyFont="1" applyNumberFormat="1">
      <alignment horizontal="center" vertical="bottom"/>
    </xf>
    <xf borderId="0" fillId="18" fontId="2" numFmtId="164" xfId="0" applyAlignment="1" applyFont="1" applyNumberFormat="1">
      <alignment horizontal="center" vertical="bottom"/>
    </xf>
    <xf borderId="0" fillId="6" fontId="1" numFmtId="0" xfId="0" applyAlignment="1" applyFont="1">
      <alignment horizontal="center" shrinkToFit="0" vertical="bottom" wrapText="1"/>
    </xf>
    <xf borderId="0" fillId="6" fontId="1" numFmtId="164" xfId="0" applyAlignment="1" applyFont="1" applyNumberFormat="1">
      <alignment horizontal="center" vertical="bottom"/>
    </xf>
    <xf borderId="1" fillId="3" fontId="7" numFmtId="0" xfId="0" applyAlignment="1" applyBorder="1" applyFont="1">
      <alignment horizontal="center" shrinkToFit="0" vertical="center" wrapText="1"/>
    </xf>
    <xf borderId="2" fillId="0" fontId="8" numFmtId="0" xfId="0" applyBorder="1" applyFont="1"/>
    <xf borderId="3" fillId="0" fontId="8" numFmtId="0" xfId="0" applyBorder="1" applyFont="1"/>
    <xf borderId="0" fillId="19" fontId="1" numFmtId="0" xfId="0" applyAlignment="1" applyFill="1" applyFont="1">
      <alignment horizontal="center" shrinkToFit="0" vertical="center" wrapText="1"/>
    </xf>
    <xf borderId="0" fillId="4" fontId="1" numFmtId="0" xfId="0" applyAlignment="1" applyFont="1">
      <alignment horizontal="center" shrinkToFit="0" vertical="center" wrapText="1"/>
    </xf>
    <xf borderId="0" fillId="20" fontId="2" numFmtId="164" xfId="0" applyAlignment="1" applyFill="1" applyFont="1" applyNumberFormat="1">
      <alignment horizontal="center" shrinkToFit="0" vertical="center" wrapText="1"/>
    </xf>
    <xf borderId="0" fillId="2" fontId="2" numFmtId="0" xfId="0" applyAlignment="1" applyFont="1">
      <alignment horizontal="center" shrinkToFit="0" vertical="center" wrapText="1"/>
    </xf>
    <xf borderId="0" fillId="18" fontId="1" numFmtId="0" xfId="0" applyAlignment="1" applyFont="1">
      <alignment horizontal="center" shrinkToFit="0" vertical="center" wrapText="1"/>
    </xf>
    <xf borderId="0" fillId="21" fontId="2" numFmtId="164" xfId="0" applyAlignment="1" applyFill="1" applyFont="1" applyNumberFormat="1">
      <alignment horizontal="center" shrinkToFit="0" vertical="center" wrapText="1"/>
    </xf>
    <xf borderId="0" fillId="14" fontId="2" numFmtId="0" xfId="0" applyAlignment="1" applyFont="1">
      <alignment horizontal="center" shrinkToFit="0" vertical="center" wrapText="1"/>
    </xf>
    <xf borderId="0" fillId="21" fontId="2" numFmtId="10" xfId="0" applyAlignment="1" applyFont="1" applyNumberFormat="1">
      <alignment horizontal="center" shrinkToFit="0" vertical="center" wrapText="1"/>
    </xf>
    <xf borderId="0" fillId="20" fontId="2" numFmtId="10" xfId="0" applyAlignment="1" applyFont="1" applyNumberFormat="1">
      <alignment horizontal="center" shrinkToFit="0" vertical="center" wrapText="1"/>
    </xf>
    <xf borderId="0" fillId="20" fontId="2" numFmtId="2" xfId="0" applyAlignment="1" applyFont="1" applyNumberFormat="1">
      <alignment horizontal="center" shrinkToFit="0" vertical="center" wrapText="1"/>
    </xf>
    <xf borderId="0" fillId="21" fontId="2" numFmtId="2" xfId="0" applyAlignment="1" applyFont="1" applyNumberFormat="1">
      <alignment horizontal="center" shrinkToFit="0" vertical="center" wrapText="1"/>
    </xf>
    <xf borderId="0" fillId="20" fontId="2" numFmtId="9" xfId="0" applyAlignment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Arial"/>
              </a:defRPr>
            </a:pPr>
            <a:r>
              <a:rPr b="0" i="0">
                <a:solidFill>
                  <a:srgbClr val="757575"/>
                </a:solidFill>
                <a:latin typeface="Arial"/>
              </a:rPr>
              <a:t>REVENUE PROPORTION</a:t>
            </a:r>
          </a:p>
        </c:rich>
      </c:tx>
      <c:overlay val="0"/>
    </c:title>
    <c:plotArea>
      <c:layout>
        <c:manualLayout>
          <c:xMode val="edge"/>
          <c:yMode val="edge"/>
          <c:x val="0.19404069767441862"/>
          <c:y val="0.13006230529595014"/>
          <c:w val="0.5964488200500646"/>
          <c:h val="0.81993769470405"/>
        </c:manualLayout>
      </c:layout>
      <c:pieChart>
        <c:varyColors val="1"/>
        <c:ser>
          <c:idx val="0"/>
          <c:order val="0"/>
          <c:dPt>
            <c:idx val="0"/>
            <c:spPr>
              <a:solidFill>
                <a:srgbClr val="1C4587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SALES!$V$35:$AE$35</c:f>
            </c:strRef>
          </c:cat>
          <c:val>
            <c:numRef>
              <c:f>SALES!$V$34:$AE$34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Arial"/>
              </a:defRPr>
            </a:pPr>
            <a:r>
              <a:rPr b="0" i="0">
                <a:solidFill>
                  <a:srgbClr val="757575"/>
                </a:solidFill>
                <a:latin typeface="Arial"/>
              </a:rPr>
              <a:t>SALES VOLUME PROPORTION</a:t>
            </a:r>
          </a:p>
        </c:rich>
      </c:tx>
      <c:overlay val="0"/>
    </c:title>
    <c:plotArea>
      <c:layout>
        <c:manualLayout>
          <c:xMode val="edge"/>
          <c:yMode val="edge"/>
          <c:x val="0.1975"/>
          <c:y val="0.13724168912848156"/>
          <c:w val="0.5816666666666667"/>
          <c:h val="0.8127583108715183"/>
        </c:manualLayout>
      </c:layout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SALES!$B$35:$K$35</c:f>
            </c:strRef>
          </c:cat>
          <c:val>
            <c:numRef>
              <c:f>SALES!$B$34:$K$34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Revenue Trend Over Month</a:t>
            </a:r>
          </a:p>
        </c:rich>
      </c:tx>
      <c:overlay val="0"/>
    </c:title>
    <c:plotArea>
      <c:layout>
        <c:manualLayout>
          <c:xMode val="edge"/>
          <c:yMode val="edge"/>
          <c:x val="0.07716049382716049"/>
          <c:y val="0.15341419586702612"/>
          <c:w val="0.9054300354207504"/>
          <c:h val="0.6365190504267743"/>
        </c:manualLayout>
      </c:layout>
      <c:barChart>
        <c:barDir val="col"/>
        <c:ser>
          <c:idx val="0"/>
          <c:order val="0"/>
          <c:tx>
            <c:v>Revenue</c:v>
          </c:tx>
          <c:spPr>
            <a:solidFill>
              <a:srgbClr val="93C47D"/>
            </a:solidFill>
            <a:ln cmpd="sng">
              <a:solidFill>
                <a:srgbClr val="000000"/>
              </a:solidFill>
            </a:ln>
          </c:spPr>
          <c:dPt>
            <c:idx val="24"/>
          </c:dPt>
          <c:dLbls>
            <c:numFmt formatCode="General" sourceLinked="1"/>
            <c:txPr>
              <a:bodyPr/>
              <a:lstStyle/>
              <a:p>
                <a:pPr lvl="0">
                  <a:defRPr b="1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SALES!$AG$2:$AG$34</c:f>
            </c:strRef>
          </c:cat>
          <c:val>
            <c:numRef>
              <c:f>SALES!$AF$2:$AF$33</c:f>
              <c:numCache/>
            </c:numRef>
          </c:val>
        </c:ser>
        <c:axId val="1051558306"/>
        <c:axId val="1731236959"/>
      </c:barChart>
      <c:catAx>
        <c:axId val="10515583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54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1236959"/>
      </c:catAx>
      <c:valAx>
        <c:axId val="17312369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1558306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Revenue of SKU's (/month)</a:t>
            </a:r>
          </a:p>
        </c:rich>
      </c:tx>
      <c:overlay val="0"/>
    </c:title>
    <c:plotArea>
      <c:layout>
        <c:manualLayout>
          <c:xMode val="edge"/>
          <c:yMode val="edge"/>
          <c:x val="0.10392441860465117"/>
          <c:y val="0.13881401617250672"/>
          <c:w val="0.8802422480620156"/>
          <c:h val="0.6323452655181849"/>
        </c:manualLayout>
      </c:layout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SALES!$V$35:$AE$35</c:f>
            </c:strRef>
          </c:cat>
          <c:val>
            <c:numRef>
              <c:f>SALES!$V$34:$AE$34</c:f>
              <c:numCache/>
            </c:numRef>
          </c:val>
        </c:ser>
        <c:axId val="257022624"/>
        <c:axId val="755578612"/>
      </c:barChart>
      <c:catAx>
        <c:axId val="2570226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5578612"/>
      </c:catAx>
      <c:valAx>
        <c:axId val="7555786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702262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VOLUME TREND</a:t>
            </a:r>
          </a:p>
        </c:rich>
      </c:tx>
      <c:overlay val="0"/>
    </c:title>
    <c:plotArea>
      <c:layout>
        <c:manualLayout>
          <c:xMode val="edge"/>
          <c:yMode val="edge"/>
          <c:x val="0.0772005772005772"/>
          <c:y val="0.10139860139860139"/>
          <c:w val="0.7720057720057721"/>
          <c:h val="0.8484848484848485"/>
        </c:manualLayout>
      </c:layout>
      <c:lineChart>
        <c:ser>
          <c:idx val="0"/>
          <c:order val="0"/>
          <c:tx>
            <c:strRef>
              <c:f>SALES!$C$2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SALES!$A$2:$A$33</c:f>
            </c:strRef>
          </c:cat>
          <c:val>
            <c:numRef>
              <c:f>SALES!$C$3:$C$33</c:f>
              <c:numCache/>
            </c:numRef>
          </c:val>
          <c:smooth val="0"/>
        </c:ser>
        <c:ser>
          <c:idx val="1"/>
          <c:order val="1"/>
          <c:tx>
            <c:strRef>
              <c:f>SALES!$B$2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SALES!$A$2:$A$33</c:f>
            </c:strRef>
          </c:cat>
          <c:val>
            <c:numRef>
              <c:f>SALES!$B$3:$B$33</c:f>
              <c:numCache/>
            </c:numRef>
          </c:val>
          <c:smooth val="0"/>
        </c:ser>
        <c:ser>
          <c:idx val="2"/>
          <c:order val="2"/>
          <c:tx>
            <c:strRef>
              <c:f>SALES!$D$2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SALES!$A$2:$A$33</c:f>
            </c:strRef>
          </c:cat>
          <c:val>
            <c:numRef>
              <c:f>SALES!$D$3:$D$33</c:f>
              <c:numCache/>
            </c:numRef>
          </c:val>
          <c:smooth val="0"/>
        </c:ser>
        <c:ser>
          <c:idx val="3"/>
          <c:order val="3"/>
          <c:tx>
            <c:strRef>
              <c:f>SALES!$E$2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SALES!$A$2:$A$33</c:f>
            </c:strRef>
          </c:cat>
          <c:val>
            <c:numRef>
              <c:f>SALES!$E$3:$E$33</c:f>
              <c:numCache/>
            </c:numRef>
          </c:val>
          <c:smooth val="0"/>
        </c:ser>
        <c:ser>
          <c:idx val="4"/>
          <c:order val="4"/>
          <c:tx>
            <c:strRef>
              <c:f>SALES!$F$2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SALES!$A$2:$A$33</c:f>
            </c:strRef>
          </c:cat>
          <c:val>
            <c:numRef>
              <c:f>SALES!$F$3:$F$33</c:f>
              <c:numCache/>
            </c:numRef>
          </c:val>
          <c:smooth val="0"/>
        </c:ser>
        <c:ser>
          <c:idx val="5"/>
          <c:order val="5"/>
          <c:tx>
            <c:strRef>
              <c:f>SALES!$G$2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SALES!$A$2:$A$33</c:f>
            </c:strRef>
          </c:cat>
          <c:val>
            <c:numRef>
              <c:f>SALES!$G$3:$G$33</c:f>
              <c:numCache/>
            </c:numRef>
          </c:val>
          <c:smooth val="0"/>
        </c:ser>
        <c:ser>
          <c:idx val="6"/>
          <c:order val="6"/>
          <c:tx>
            <c:strRef>
              <c:f>SALES!$H$2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SALES!$A$2:$A$33</c:f>
            </c:strRef>
          </c:cat>
          <c:val>
            <c:numRef>
              <c:f>SALES!$H$3:$H$33</c:f>
              <c:numCache/>
            </c:numRef>
          </c:val>
          <c:smooth val="0"/>
        </c:ser>
        <c:ser>
          <c:idx val="7"/>
          <c:order val="7"/>
          <c:tx>
            <c:strRef>
              <c:f>SALES!$I$2</c:f>
            </c:strRef>
          </c:tx>
          <c:spPr>
            <a:ln cmpd="sng">
              <a:solidFill>
                <a:srgbClr val="F07B72"/>
              </a:solidFill>
            </a:ln>
          </c:spPr>
          <c:marker>
            <c:symbol val="none"/>
          </c:marker>
          <c:cat>
            <c:strRef>
              <c:f>SALES!$A$2:$A$33</c:f>
            </c:strRef>
          </c:cat>
          <c:val>
            <c:numRef>
              <c:f>SALES!$I$3:$I$33</c:f>
              <c:numCache/>
            </c:numRef>
          </c:val>
          <c:smooth val="0"/>
        </c:ser>
        <c:ser>
          <c:idx val="8"/>
          <c:order val="8"/>
          <c:tx>
            <c:strRef>
              <c:f>SALES!$J$2</c:f>
            </c:strRef>
          </c:tx>
          <c:spPr>
            <a:ln cmpd="sng">
              <a:solidFill>
                <a:srgbClr val="FCD04F"/>
              </a:solidFill>
            </a:ln>
          </c:spPr>
          <c:marker>
            <c:symbol val="none"/>
          </c:marker>
          <c:cat>
            <c:strRef>
              <c:f>SALES!$A$2:$A$33</c:f>
            </c:strRef>
          </c:cat>
          <c:val>
            <c:numRef>
              <c:f>SALES!$J$3:$J$33</c:f>
              <c:numCache/>
            </c:numRef>
          </c:val>
          <c:smooth val="0"/>
        </c:ser>
        <c:ser>
          <c:idx val="9"/>
          <c:order val="9"/>
          <c:tx>
            <c:strRef>
              <c:f>SALES!$K$2</c:f>
            </c:strRef>
          </c:tx>
          <c:spPr>
            <a:ln cmpd="sng">
              <a:solidFill>
                <a:srgbClr val="71C287"/>
              </a:solidFill>
            </a:ln>
          </c:spPr>
          <c:marker>
            <c:symbol val="none"/>
          </c:marker>
          <c:cat>
            <c:strRef>
              <c:f>SALES!$A$2:$A$33</c:f>
            </c:strRef>
          </c:cat>
          <c:val>
            <c:numRef>
              <c:f>SALES!$K$3:$K$33</c:f>
              <c:numCache/>
            </c:numRef>
          </c:val>
          <c:smooth val="0"/>
        </c:ser>
        <c:axId val="2142459366"/>
        <c:axId val="1711480718"/>
      </c:lineChart>
      <c:catAx>
        <c:axId val="21424593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1480718"/>
      </c:catAx>
      <c:valAx>
        <c:axId val="17114807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Volume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4245936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AVG Sales</a:t>
            </a:r>
          </a:p>
        </c:rich>
      </c:tx>
      <c:overlay val="0"/>
    </c:title>
    <c:plotArea>
      <c:layout>
        <c:manualLayout>
          <c:xMode val="edge"/>
          <c:yMode val="edge"/>
          <c:x val="0.0875"/>
          <c:y val="0.15341419586702607"/>
          <c:w val="0.8815833333333334"/>
          <c:h val="0.6015725790851211"/>
        </c:manualLayout>
      </c:layout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SALES!$B$35:$K$35</c:f>
            </c:strRef>
          </c:cat>
          <c:val>
            <c:numRef>
              <c:f>SALES!$B$34:$K$34</c:f>
              <c:numCache/>
            </c:numRef>
          </c:val>
        </c:ser>
        <c:ser>
          <c:idx val="1"/>
          <c:order val="1"/>
          <c:cat>
            <c:strRef>
              <c:f>SALES!$B$35:$K$35</c:f>
            </c:strRef>
          </c:cat>
          <c:val>
            <c:numRef>
              <c:f>SALES!$B$35:$K$35</c:f>
              <c:numCache/>
            </c:numRef>
          </c:val>
        </c:ser>
        <c:axId val="201009560"/>
        <c:axId val="1751149458"/>
      </c:barChart>
      <c:catAx>
        <c:axId val="2010095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1149458"/>
      </c:catAx>
      <c:valAx>
        <c:axId val="17511494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Unit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00956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Purchase Price Trend (SKU)</a:t>
            </a:r>
          </a:p>
        </c:rich>
      </c:tx>
      <c:overlay val="0"/>
    </c:title>
    <c:plotArea>
      <c:layout>
        <c:manualLayout>
          <c:xMode val="edge"/>
          <c:yMode val="edge"/>
          <c:x val="0.08887545344619105"/>
          <c:y val="0.14282990083905414"/>
          <c:w val="0.7685489880781191"/>
          <c:h val="0.7530511060259345"/>
        </c:manualLayout>
      </c:layout>
      <c:lineChart>
        <c:ser>
          <c:idx val="0"/>
          <c:order val="0"/>
          <c:tx>
            <c:strRef>
              <c:f>PURCHASE!$L$1:$L$2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PURCHASE!$A$3:$A$33</c:f>
            </c:strRef>
          </c:cat>
          <c:val>
            <c:numRef>
              <c:f>PURCHASE!$L$3:$L$33</c:f>
              <c:numCache/>
            </c:numRef>
          </c:val>
          <c:smooth val="0"/>
        </c:ser>
        <c:ser>
          <c:idx val="1"/>
          <c:order val="1"/>
          <c:tx>
            <c:strRef>
              <c:f>PURCHASE!$M$1:$M$2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PURCHASE!$A$3:$A$33</c:f>
            </c:strRef>
          </c:cat>
          <c:val>
            <c:numRef>
              <c:f>PURCHASE!$M$3:$M$33</c:f>
              <c:numCache/>
            </c:numRef>
          </c:val>
          <c:smooth val="0"/>
        </c:ser>
        <c:ser>
          <c:idx val="2"/>
          <c:order val="2"/>
          <c:tx>
            <c:strRef>
              <c:f>PURCHASE!$N$1:$N$2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PURCHASE!$A$3:$A$33</c:f>
            </c:strRef>
          </c:cat>
          <c:val>
            <c:numRef>
              <c:f>PURCHASE!$N$3:$N$33</c:f>
              <c:numCache/>
            </c:numRef>
          </c:val>
          <c:smooth val="0"/>
        </c:ser>
        <c:ser>
          <c:idx val="3"/>
          <c:order val="3"/>
          <c:tx>
            <c:strRef>
              <c:f>PURCHASE!$O$1:$O$2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PURCHASE!$A$3:$A$33</c:f>
            </c:strRef>
          </c:cat>
          <c:val>
            <c:numRef>
              <c:f>PURCHASE!$O$3:$O$33</c:f>
              <c:numCache/>
            </c:numRef>
          </c:val>
          <c:smooth val="0"/>
        </c:ser>
        <c:ser>
          <c:idx val="4"/>
          <c:order val="4"/>
          <c:tx>
            <c:strRef>
              <c:f>PURCHASE!$P$1:$P$2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PURCHASE!$A$3:$A$33</c:f>
            </c:strRef>
          </c:cat>
          <c:val>
            <c:numRef>
              <c:f>PURCHASE!$P$3:$P$33</c:f>
              <c:numCache/>
            </c:numRef>
          </c:val>
          <c:smooth val="0"/>
        </c:ser>
        <c:ser>
          <c:idx val="5"/>
          <c:order val="5"/>
          <c:tx>
            <c:strRef>
              <c:f>PURCHASE!$Q$1:$Q$2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PURCHASE!$A$3:$A$33</c:f>
            </c:strRef>
          </c:cat>
          <c:val>
            <c:numRef>
              <c:f>PURCHASE!$Q$3:$Q$33</c:f>
              <c:numCache/>
            </c:numRef>
          </c:val>
          <c:smooth val="0"/>
        </c:ser>
        <c:ser>
          <c:idx val="6"/>
          <c:order val="6"/>
          <c:tx>
            <c:strRef>
              <c:f>PURCHASE!$R$1:$R$2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PURCHASE!$A$3:$A$33</c:f>
            </c:strRef>
          </c:cat>
          <c:val>
            <c:numRef>
              <c:f>PURCHASE!$R$3:$R$33</c:f>
              <c:numCache/>
            </c:numRef>
          </c:val>
          <c:smooth val="0"/>
        </c:ser>
        <c:ser>
          <c:idx val="7"/>
          <c:order val="7"/>
          <c:tx>
            <c:strRef>
              <c:f>PURCHASE!$S$1:$S$2</c:f>
            </c:strRef>
          </c:tx>
          <c:spPr>
            <a:ln cmpd="sng">
              <a:solidFill>
                <a:srgbClr val="F07B72"/>
              </a:solidFill>
            </a:ln>
          </c:spPr>
          <c:marker>
            <c:symbol val="none"/>
          </c:marker>
          <c:cat>
            <c:strRef>
              <c:f>PURCHASE!$A$3:$A$33</c:f>
            </c:strRef>
          </c:cat>
          <c:val>
            <c:numRef>
              <c:f>PURCHASE!$S$3:$S$33</c:f>
              <c:numCache/>
            </c:numRef>
          </c:val>
          <c:smooth val="0"/>
        </c:ser>
        <c:ser>
          <c:idx val="8"/>
          <c:order val="8"/>
          <c:tx>
            <c:strRef>
              <c:f>PURCHASE!$T$1:$T$2</c:f>
            </c:strRef>
          </c:tx>
          <c:spPr>
            <a:ln cmpd="sng">
              <a:solidFill>
                <a:srgbClr val="FCD04F"/>
              </a:solidFill>
            </a:ln>
          </c:spPr>
          <c:marker>
            <c:symbol val="none"/>
          </c:marker>
          <c:cat>
            <c:strRef>
              <c:f>PURCHASE!$A$3:$A$33</c:f>
            </c:strRef>
          </c:cat>
          <c:val>
            <c:numRef>
              <c:f>PURCHASE!$T$3:$T$33</c:f>
              <c:numCache/>
            </c:numRef>
          </c:val>
          <c:smooth val="0"/>
        </c:ser>
        <c:ser>
          <c:idx val="9"/>
          <c:order val="9"/>
          <c:tx>
            <c:strRef>
              <c:f>PURCHASE!$U$1:$U$2</c:f>
            </c:strRef>
          </c:tx>
          <c:spPr>
            <a:ln cmpd="sng">
              <a:solidFill>
                <a:srgbClr val="71C287"/>
              </a:solidFill>
            </a:ln>
          </c:spPr>
          <c:marker>
            <c:symbol val="none"/>
          </c:marker>
          <c:cat>
            <c:strRef>
              <c:f>PURCHASE!$A$3:$A$33</c:f>
            </c:strRef>
          </c:cat>
          <c:val>
            <c:numRef>
              <c:f>PURCHASE!$U$3:$U$33</c:f>
              <c:numCache/>
            </c:numRef>
          </c:val>
          <c:smooth val="0"/>
        </c:ser>
        <c:axId val="2006412112"/>
        <c:axId val="1186897083"/>
      </c:lineChart>
      <c:catAx>
        <c:axId val="20064121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6897083"/>
      </c:catAx>
      <c:valAx>
        <c:axId val="11868970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Purchase Price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641211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Arial"/>
              </a:defRPr>
            </a:pPr>
            <a:r>
              <a:rPr b="0" i="0">
                <a:solidFill>
                  <a:srgbClr val="757575"/>
                </a:solidFill>
                <a:latin typeface="Arial"/>
              </a:rPr>
              <a:t>COOKING OIL PURCHASE VS CP</a:t>
            </a:r>
          </a:p>
        </c:rich>
      </c:tx>
      <c:overlay val="0"/>
    </c:title>
    <c:plotArea>
      <c:layout>
        <c:manualLayout>
          <c:xMode val="edge"/>
          <c:yMode val="edge"/>
          <c:x val="0.08146487294469357"/>
          <c:y val="0.15229885057471262"/>
          <c:w val="0.898355754857997"/>
          <c:h val="0.6648924327182657"/>
        </c:manualLayout>
      </c:layout>
      <c:barChart>
        <c:barDir val="col"/>
        <c:ser>
          <c:idx val="0"/>
          <c:order val="0"/>
          <c:tx>
            <c:v>OIL PURCHASE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19"/>
          </c:dPt>
          <c:dPt>
            <c:idx val="20"/>
            <c:spPr>
              <a:solidFill>
                <a:srgbClr val="0000FF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PURCHASE!$A$41:$A$71</c:f>
            </c:strRef>
          </c:cat>
          <c:val>
            <c:numRef>
              <c:f>PURCHASE!$B$41:$B$71</c:f>
              <c:numCache/>
            </c:numRef>
          </c:val>
        </c:ser>
        <c:axId val="640304241"/>
        <c:axId val="726067660"/>
      </c:barChart>
      <c:lineChart>
        <c:varyColors val="0"/>
        <c:ser>
          <c:idx val="1"/>
          <c:order val="1"/>
          <c:tx>
            <c:v>Cost Price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dPt>
            <c:idx val="20"/>
            <c:marker>
              <c:symbol val="none"/>
            </c:marker>
          </c:dPt>
          <c:dPt>
            <c:idx val="21"/>
            <c:marker>
              <c:symbol val="none"/>
            </c:marker>
          </c:dPt>
          <c:cat>
            <c:strRef>
              <c:f>PURCHASE!$A$41:$A$71</c:f>
            </c:strRef>
          </c:cat>
          <c:val>
            <c:numRef>
              <c:f>PURCHASE!$C$40:$C$71</c:f>
              <c:numCache/>
            </c:numRef>
          </c:val>
          <c:smooth val="0"/>
        </c:ser>
        <c:axId val="640304241"/>
        <c:axId val="726067660"/>
      </c:lineChart>
      <c:catAx>
        <c:axId val="6403042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Arial"/>
              </a:defRPr>
            </a:pPr>
          </a:p>
        </c:txPr>
        <c:crossAx val="726067660"/>
      </c:catAx>
      <c:valAx>
        <c:axId val="7260676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Unit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Arial"/>
              </a:defRPr>
            </a:pPr>
          </a:p>
        </c:txPr>
        <c:crossAx val="640304241"/>
      </c:valAx>
    </c:plotArea>
    <c:legend>
      <c:legendPos val="t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URAD DAL Purchase VS CP</a:t>
            </a:r>
          </a:p>
        </c:rich>
      </c:tx>
      <c:overlay val="0"/>
    </c:title>
    <c:plotArea>
      <c:layout>
        <c:manualLayout>
          <c:xMode val="edge"/>
          <c:yMode val="edge"/>
          <c:x val="0.0975"/>
          <c:y val="0.21909254267744827"/>
          <c:w val="0.8715833333333334"/>
          <c:h val="0.5639263252470801"/>
        </c:manualLayout>
      </c:layout>
      <c:barChart>
        <c:barDir val="col"/>
        <c:ser>
          <c:idx val="0"/>
          <c:order val="0"/>
          <c:tx>
            <c:v>Purchase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19"/>
            <c:spPr>
              <a:solidFill>
                <a:srgbClr val="0000FF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PURCHASE!$E$41:$E$71</c:f>
            </c:strRef>
          </c:cat>
          <c:val>
            <c:numRef>
              <c:f>PURCHASE!$F$41:$F$71</c:f>
              <c:numCache/>
            </c:numRef>
          </c:val>
        </c:ser>
        <c:axId val="1042842356"/>
        <c:axId val="675817492"/>
      </c:barChart>
      <c:lineChart>
        <c:varyColors val="0"/>
        <c:ser>
          <c:idx val="1"/>
          <c:order val="1"/>
          <c:tx>
            <c:v>Cost Price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PURCHASE!$E$41:$E$71</c:f>
            </c:strRef>
          </c:cat>
          <c:val>
            <c:numRef>
              <c:f>PURCHASE!$G$41:$G$71</c:f>
              <c:numCache/>
            </c:numRef>
          </c:val>
          <c:smooth val="0"/>
        </c:ser>
        <c:axId val="1042842356"/>
        <c:axId val="675817492"/>
      </c:lineChart>
      <c:catAx>
        <c:axId val="10428423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5817492"/>
      </c:catAx>
      <c:valAx>
        <c:axId val="6758174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Unit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284235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Arial"/>
              </a:defRPr>
            </a:pPr>
            <a:r>
              <a:rPr b="0" i="0">
                <a:solidFill>
                  <a:srgbClr val="757575"/>
                </a:solidFill>
                <a:latin typeface="Arial"/>
              </a:rPr>
              <a:t>RICE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INVENTORY!$B$1:$B$2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INVENTORY!$A$3:$A$37</c:f>
            </c:strRef>
          </c:cat>
          <c:val>
            <c:numRef>
              <c:f>INVENTORY!$B$3:$B$37</c:f>
              <c:numCache/>
            </c:numRef>
          </c:val>
        </c:ser>
        <c:axId val="503654363"/>
        <c:axId val="1065251396"/>
      </c:barChart>
      <c:catAx>
        <c:axId val="5036543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>
                    <a:solidFill>
                      <a:srgbClr val="000000"/>
                    </a:solidFill>
                    <a:latin typeface="Arial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Arial"/>
              </a:defRPr>
            </a:pPr>
          </a:p>
        </c:txPr>
        <c:crossAx val="1065251396"/>
      </c:catAx>
      <c:valAx>
        <c:axId val="10652513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>
                    <a:solidFill>
                      <a:srgbClr val="000000"/>
                    </a:solidFill>
                    <a:latin typeface="Arial"/>
                  </a:rPr>
                  <a:t>RICE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Arial"/>
              </a:defRPr>
            </a:pPr>
          </a:p>
        </c:txPr>
        <c:crossAx val="503654363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Arial"/>
              </a:defRPr>
            </a:pPr>
            <a:r>
              <a:rPr b="0" i="0">
                <a:solidFill>
                  <a:srgbClr val="757575"/>
                </a:solidFill>
                <a:latin typeface="Arial"/>
              </a:rPr>
              <a:t>ATTA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INVENTORY!$C$1:$C$2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INVENTORY!$A$3:$A$33</c:f>
            </c:strRef>
          </c:cat>
          <c:val>
            <c:numRef>
              <c:f>INVENTORY!$C$3:$C$33</c:f>
              <c:numCache/>
            </c:numRef>
          </c:val>
        </c:ser>
        <c:axId val="1728743838"/>
        <c:axId val="1040373946"/>
      </c:barChart>
      <c:catAx>
        <c:axId val="17287438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>
                    <a:solidFill>
                      <a:srgbClr val="000000"/>
                    </a:solidFill>
                    <a:latin typeface="Arial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Arial"/>
              </a:defRPr>
            </a:pPr>
          </a:p>
        </c:txPr>
        <c:crossAx val="1040373946"/>
      </c:catAx>
      <c:valAx>
        <c:axId val="10403739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Arial"/>
              </a:defRPr>
            </a:pPr>
          </a:p>
        </c:txPr>
        <c:crossAx val="1728743838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Arial"/>
              </a:defRPr>
            </a:pPr>
            <a:r>
              <a:rPr b="0" i="0">
                <a:solidFill>
                  <a:srgbClr val="757575"/>
                </a:solidFill>
                <a:latin typeface="Arial"/>
              </a:rPr>
              <a:t>AVG STOCK IN STORE</a:t>
            </a:r>
          </a:p>
        </c:rich>
      </c:tx>
      <c:overlay val="0"/>
    </c:title>
    <c:plotArea>
      <c:layout>
        <c:manualLayout>
          <c:xMode val="edge"/>
          <c:yMode val="edge"/>
          <c:x val="0.09669811320754718"/>
          <c:y val="0.15341419586702604"/>
          <c:w val="0.8224685534591195"/>
          <c:h val="0.5379604672057503"/>
        </c:manualLayout>
      </c:layout>
      <c:barChart>
        <c:barDir val="col"/>
        <c:ser>
          <c:idx val="0"/>
          <c:order val="0"/>
          <c:tx>
            <c:v>STOCK</c:v>
          </c:tx>
          <c:spPr>
            <a:solidFill>
              <a:srgbClr val="1C4587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INVENTORY!$B$36:$K$36</c:f>
            </c:strRef>
          </c:cat>
          <c:val>
            <c:numRef>
              <c:f>INVENTORY!$B$37:$K$37</c:f>
              <c:numCache/>
            </c:numRef>
          </c:val>
        </c:ser>
        <c:axId val="1916753392"/>
        <c:axId val="2017558268"/>
      </c:barChart>
      <c:catAx>
        <c:axId val="19167533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>
                    <a:solidFill>
                      <a:srgbClr val="000000"/>
                    </a:solidFill>
                    <a:latin typeface="Arial"/>
                  </a:rPr>
                  <a:t>PRODUCTS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Arial"/>
              </a:defRPr>
            </a:pPr>
          </a:p>
        </c:txPr>
        <c:crossAx val="2017558268"/>
      </c:catAx>
      <c:valAx>
        <c:axId val="20175582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>
                    <a:solidFill>
                      <a:srgbClr val="000000"/>
                    </a:solidFill>
                    <a:latin typeface="Arial"/>
                  </a:rPr>
                  <a:t>BAGS/ CARTONS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Arial"/>
              </a:defRPr>
            </a:pPr>
          </a:p>
        </c:txPr>
        <c:crossAx val="1916753392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AVG DAILY INVENTORY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STOCK</c:v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000000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>Trend Line</c:name>
            <c:spPr>
              <a:ln w="19050">
                <a:solidFill>
                  <a:srgbClr val="000000">
                    <a:alpha val="50196"/>
                  </a:srgbClr>
                </a:solidFill>
              </a:ln>
            </c:spPr>
            <c:trendlineType val="exp"/>
            <c:dispRSqr val="0"/>
            <c:dispEq val="0"/>
          </c:trendline>
          <c:cat>
            <c:strRef>
              <c:f>INVENTORY!$N$2:$N$33</c:f>
            </c:strRef>
          </c:cat>
          <c:val>
            <c:numRef>
              <c:f>INVENTORY!$M$2:$M$33</c:f>
              <c:numCache/>
            </c:numRef>
          </c:val>
        </c:ser>
        <c:axId val="290171584"/>
        <c:axId val="1445253523"/>
      </c:barChart>
      <c:catAx>
        <c:axId val="2901715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54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5253523"/>
      </c:catAx>
      <c:valAx>
        <c:axId val="14452535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017158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Arial"/>
              </a:defRPr>
            </a:pPr>
            <a:r>
              <a:rPr b="0" i="0">
                <a:solidFill>
                  <a:srgbClr val="757575"/>
                </a:solidFill>
                <a:latin typeface="Arial"/>
              </a:rPr>
              <a:t>AVG INVENTORY TREND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INVENTORY!$M$1:$M$2</c:f>
            </c:strRef>
          </c:tx>
          <c:spPr>
            <a:solidFill>
              <a:srgbClr val="1C4587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6AA84F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E69138"/>
              </a:solidFill>
              <a:ln cmpd="sng">
                <a:solidFill>
                  <a:srgbClr val="000000"/>
                </a:solidFill>
              </a:ln>
            </c:spPr>
          </c:dPt>
          <c:dPt>
            <c:idx val="21"/>
            <c:spPr>
              <a:solidFill>
                <a:srgbClr val="6AA84F"/>
              </a:solidFill>
              <a:ln cmpd="sng">
                <a:solidFill>
                  <a:srgbClr val="000000"/>
                </a:solidFill>
              </a:ln>
            </c:spPr>
          </c:dPt>
          <c:dPt>
            <c:idx val="23"/>
            <c:spPr>
              <a:solidFill>
                <a:srgbClr val="E69138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INVENTORY!$N$3:$N$33</c:f>
            </c:strRef>
          </c:cat>
          <c:val>
            <c:numRef>
              <c:f>INVENTORY!$M$3:$M$33</c:f>
              <c:numCache/>
            </c:numRef>
          </c:val>
        </c:ser>
        <c:axId val="1479759765"/>
        <c:axId val="1161707052"/>
      </c:barChart>
      <c:catAx>
        <c:axId val="14797597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>
                    <a:solidFill>
                      <a:srgbClr val="000000"/>
                    </a:solidFill>
                    <a:latin typeface="Arial"/>
                  </a:rPr>
                  <a:t>INVENTORY/DATE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Arial"/>
              </a:defRPr>
            </a:pPr>
          </a:p>
        </c:txPr>
        <c:crossAx val="1161707052"/>
      </c:catAx>
      <c:valAx>
        <c:axId val="11617070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Arial"/>
              </a:defRPr>
            </a:pPr>
          </a:p>
        </c:txPr>
        <c:crossAx val="1479759765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Inventory Fluctuation</a:t>
            </a:r>
          </a:p>
        </c:rich>
      </c:tx>
      <c:overlay val="0"/>
    </c:title>
    <c:plotArea>
      <c:layout>
        <c:manualLayout>
          <c:xMode val="edge"/>
          <c:yMode val="edge"/>
          <c:x val="0.08523489932885905"/>
          <c:y val="0.15341419586702604"/>
          <c:w val="0.7771812080536913"/>
          <c:h val="0.7804252835255987"/>
        </c:manualLayout>
      </c:layout>
      <c:lineChart>
        <c:ser>
          <c:idx val="0"/>
          <c:order val="0"/>
          <c:tx>
            <c:v>Rice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INVENTORY!$A$2:$A$33</c:f>
            </c:strRef>
          </c:cat>
          <c:val>
            <c:numRef>
              <c:f>INVENTORY!$B$2:$B$33</c:f>
              <c:numCache/>
            </c:numRef>
          </c:val>
          <c:smooth val="1"/>
        </c:ser>
        <c:ser>
          <c:idx val="1"/>
          <c:order val="1"/>
          <c:tx>
            <c:v>ATTA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INVENTORY!$A$2:$A$33</c:f>
            </c:strRef>
          </c:cat>
          <c:val>
            <c:numRef>
              <c:f>INVENTORY!$C$2:$C$33</c:f>
              <c:numCache/>
            </c:numRef>
          </c:val>
          <c:smooth val="1"/>
        </c:ser>
        <c:ser>
          <c:idx val="2"/>
          <c:order val="2"/>
          <c:tx>
            <c:v>Toor Dal</c:v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INVENTORY!$A$2:$A$33</c:f>
            </c:strRef>
          </c:cat>
          <c:val>
            <c:numRef>
              <c:f>INVENTORY!$D$2:$D$33</c:f>
              <c:numCache/>
            </c:numRef>
          </c:val>
          <c:smooth val="1"/>
        </c:ser>
        <c:ser>
          <c:idx val="3"/>
          <c:order val="3"/>
          <c:tx>
            <c:v>Moong Dal</c:v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INVENTORY!$A$2:$A$33</c:f>
            </c:strRef>
          </c:cat>
          <c:val>
            <c:numRef>
              <c:f>INVENTORY!$E$2:$E$33</c:f>
              <c:numCache/>
            </c:numRef>
          </c:val>
          <c:smooth val="1"/>
        </c:ser>
        <c:ser>
          <c:idx val="4"/>
          <c:order val="4"/>
          <c:tx>
            <c:v>Urad Dal</c:v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INVENTORY!$A$2:$A$33</c:f>
            </c:strRef>
          </c:cat>
          <c:val>
            <c:numRef>
              <c:f>INVENTORY!$G$2:$G$33</c:f>
              <c:numCache/>
            </c:numRef>
          </c:val>
          <c:smooth val="1"/>
        </c:ser>
        <c:ser>
          <c:idx val="5"/>
          <c:order val="5"/>
          <c:tx>
            <c:v>Sugar</c:v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INVENTORY!$A$2:$A$33</c:f>
            </c:strRef>
          </c:cat>
          <c:val>
            <c:numRef>
              <c:f>INVENTORY!$H$2:$H$33</c:f>
              <c:numCache/>
            </c:numRef>
          </c:val>
          <c:smooth val="1"/>
        </c:ser>
        <c:ser>
          <c:idx val="6"/>
          <c:order val="6"/>
          <c:tx>
            <c:v>Cooking Oil</c:v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INVENTORY!$A$2:$A$33</c:f>
            </c:strRef>
          </c:cat>
          <c:val>
            <c:numRef>
              <c:f>INVENTORY!$I$2:$I$33</c:f>
              <c:numCache/>
            </c:numRef>
          </c:val>
          <c:smooth val="1"/>
        </c:ser>
        <c:ser>
          <c:idx val="7"/>
          <c:order val="7"/>
          <c:tx>
            <c:v>Ghee</c:v>
          </c:tx>
          <c:spPr>
            <a:ln cmpd="sng">
              <a:solidFill>
                <a:srgbClr val="F07B72"/>
              </a:solidFill>
            </a:ln>
          </c:spPr>
          <c:marker>
            <c:symbol val="none"/>
          </c:marker>
          <c:cat>
            <c:strRef>
              <c:f>INVENTORY!$A$2:$A$33</c:f>
            </c:strRef>
          </c:cat>
          <c:val>
            <c:numRef>
              <c:f>INVENTORY!$J$2:$J$33</c:f>
              <c:numCache/>
            </c:numRef>
          </c:val>
          <c:smooth val="1"/>
        </c:ser>
        <c:ser>
          <c:idx val="8"/>
          <c:order val="8"/>
          <c:tx>
            <c:v>Dry Fruits</c:v>
          </c:tx>
          <c:spPr>
            <a:ln cmpd="sng">
              <a:solidFill>
                <a:srgbClr val="FCD04F"/>
              </a:solidFill>
            </a:ln>
          </c:spPr>
          <c:marker>
            <c:symbol val="none"/>
          </c:marker>
          <c:dPt>
            <c:idx val="23"/>
            <c:marker>
              <c:symbol val="none"/>
            </c:marker>
          </c:dPt>
          <c:dPt>
            <c:idx val="24"/>
            <c:marker>
              <c:symbol val="none"/>
            </c:marker>
          </c:dPt>
          <c:cat>
            <c:strRef>
              <c:f>INVENTORY!$A$2:$A$33</c:f>
            </c:strRef>
          </c:cat>
          <c:val>
            <c:numRef>
              <c:f>INVENTORY!$K$2:$K$33</c:f>
              <c:numCache/>
            </c:numRef>
          </c:val>
          <c:smooth val="1"/>
        </c:ser>
        <c:axId val="1531399132"/>
        <c:axId val="272262508"/>
      </c:lineChart>
      <c:catAx>
        <c:axId val="15313991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2262508"/>
      </c:catAx>
      <c:valAx>
        <c:axId val="2722625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Bags / Cartons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139913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AVG Sales</a:t>
            </a:r>
          </a:p>
        </c:rich>
      </c:tx>
      <c:overlay val="0"/>
    </c:title>
    <c:plotArea>
      <c:layout>
        <c:manualLayout>
          <c:xMode val="edge"/>
          <c:yMode val="edge"/>
          <c:x val="0.0875"/>
          <c:y val="0.15341419586702607"/>
          <c:w val="0.8815833333333334"/>
          <c:h val="0.6015725790851211"/>
        </c:manualLayout>
      </c:layout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SALES!$B$35:$K$35</c:f>
            </c:strRef>
          </c:cat>
          <c:val>
            <c:numRef>
              <c:f>SALES!$B$34:$K$34</c:f>
              <c:numCache/>
            </c:numRef>
          </c:val>
        </c:ser>
        <c:ser>
          <c:idx val="1"/>
          <c:order val="1"/>
          <c:cat>
            <c:strRef>
              <c:f>SALES!$B$35:$K$35</c:f>
            </c:strRef>
          </c:cat>
          <c:val>
            <c:numRef>
              <c:f>SALES!$B$35:$K$35</c:f>
              <c:numCache/>
            </c:numRef>
          </c:val>
        </c:ser>
        <c:axId val="1425829436"/>
        <c:axId val="382191723"/>
      </c:barChart>
      <c:catAx>
        <c:axId val="14258294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2191723"/>
      </c:catAx>
      <c:valAx>
        <c:axId val="3821917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Unit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582943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Profit Contribution of each SKU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'Profit  Loss'!$B$7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'Profit  Loss'!$A$8:$A$17</c:f>
            </c:strRef>
          </c:cat>
          <c:val>
            <c:numRef>
              <c:f>'Profit  Loss'!$B$8:$B$17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PROFIT ANALYSIS</a:t>
            </a:r>
          </a:p>
        </c:rich>
      </c:tx>
      <c:overlay val="0"/>
    </c:title>
    <c:plotArea>
      <c:layout>
        <c:manualLayout>
          <c:xMode val="edge"/>
          <c:yMode val="edge"/>
          <c:x val="0.06554125749001335"/>
          <c:y val="0.13936781609195403"/>
          <c:w val="0.7792863287168833"/>
          <c:h val="0.6548132183908049"/>
        </c:manualLayout>
      </c:layout>
      <c:barChart>
        <c:barDir val="col"/>
        <c:ser>
          <c:idx val="0"/>
          <c:order val="0"/>
          <c:tx>
            <c:strRef>
              <c:f>'Profit  Loss'!$D$7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Pt>
            <c:idx val="4"/>
          </c:dPt>
          <c:dPt>
            <c:idx val="5"/>
          </c:dPt>
          <c:dPt>
            <c:idx val="6"/>
          </c:dPt>
          <c:dPt>
            <c:idx val="7"/>
          </c:dPt>
          <c:dPt>
            <c:idx val="9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'Profit  Loss'!$A$8:$A$17</c:f>
            </c:strRef>
          </c:cat>
          <c:val>
            <c:numRef>
              <c:f>'Profit  Loss'!$D$8:$D$17</c:f>
              <c:numCache/>
            </c:numRef>
          </c:val>
        </c:ser>
        <c:ser>
          <c:idx val="1"/>
          <c:order val="1"/>
          <c:tx>
            <c:strRef>
              <c:f>'Profit  Loss'!$E$7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'Profit  Loss'!$A$8:$A$17</c:f>
            </c:strRef>
          </c:cat>
          <c:val>
            <c:numRef>
              <c:f>'Profit  Loss'!$E$8:$E$17</c:f>
              <c:numCache/>
            </c:numRef>
          </c:val>
        </c:ser>
        <c:axId val="1390934608"/>
        <c:axId val="1673811376"/>
      </c:barChart>
      <c:catAx>
        <c:axId val="13909346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Arial"/>
              </a:defRPr>
            </a:pPr>
          </a:p>
        </c:txPr>
        <c:crossAx val="1673811376"/>
      </c:catAx>
      <c:valAx>
        <c:axId val="16738113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Arial"/>
              </a:defRPr>
            </a:pPr>
          </a:p>
        </c:txPr>
        <c:crossAx val="1390934608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Arial"/>
              </a:defRPr>
            </a:pPr>
            <a:r>
              <a:rPr b="0" i="0">
                <a:solidFill>
                  <a:srgbClr val="757575"/>
                </a:solidFill>
                <a:latin typeface="Arial"/>
              </a:rPr>
              <a:t>MARGIN %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'Profit  Loss'!$F$7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'Profit  Loss'!$A$8:$A$17</c:f>
            </c:strRef>
          </c:cat>
          <c:val>
            <c:numRef>
              <c:f>'Profit  Loss'!$F$8:$F$17</c:f>
              <c:numCache/>
            </c:numRef>
          </c:val>
        </c:ser>
        <c:axId val="2018247778"/>
        <c:axId val="1620342099"/>
      </c:barChart>
      <c:catAx>
        <c:axId val="20182477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Arial"/>
              </a:defRPr>
            </a:pPr>
          </a:p>
        </c:txPr>
        <c:crossAx val="1620342099"/>
      </c:catAx>
      <c:valAx>
        <c:axId val="16203420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Arial"/>
              </a:defRPr>
            </a:pPr>
          </a:p>
        </c:txPr>
        <c:crossAx val="2018247778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Pareto Chart of Total Profit</a:t>
            </a:r>
          </a:p>
        </c:rich>
      </c:tx>
      <c:overlay val="0"/>
    </c:title>
    <c:plotArea>
      <c:layout>
        <c:manualLayout>
          <c:xMode val="edge"/>
          <c:yMode val="edge"/>
          <c:x val="0.11083333333333334"/>
          <c:y val="0.2190925426774484"/>
          <c:w val="0.8582500000000001"/>
          <c:h val="0.5154088050314465"/>
        </c:manualLayout>
      </c:layout>
      <c:barChart>
        <c:barDir val="col"/>
        <c:ser>
          <c:idx val="0"/>
          <c:order val="0"/>
          <c:tx>
            <c:strRef>
              <c:f>'Profit  Loss'!$B$47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'Profit  Loss'!$A$48:$A$57</c:f>
            </c:strRef>
          </c:cat>
          <c:val>
            <c:numRef>
              <c:f>'Profit  Loss'!$B$48:$B$57</c:f>
              <c:numCache/>
            </c:numRef>
          </c:val>
        </c:ser>
        <c:axId val="210558975"/>
        <c:axId val="1063190530"/>
      </c:barChart>
      <c:lineChart>
        <c:varyColors val="0"/>
        <c:ser>
          <c:idx val="1"/>
          <c:order val="1"/>
          <c:tx>
            <c:strRef>
              <c:f>'Profit  Loss'!$C$47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'Profit  Loss'!$A$48:$A$57</c:f>
            </c:strRef>
          </c:cat>
          <c:val>
            <c:numRef>
              <c:f>'Profit  Loss'!$C$48:$C$57</c:f>
              <c:numCache/>
            </c:numRef>
          </c:val>
          <c:smooth val="0"/>
        </c:ser>
        <c:axId val="210558975"/>
        <c:axId val="1063190530"/>
      </c:lineChart>
      <c:catAx>
        <c:axId val="21055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63190530"/>
      </c:catAx>
      <c:valAx>
        <c:axId val="10631905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55897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Pareto Chart of  Total REVENUE</a:t>
            </a:r>
          </a:p>
        </c:rich>
      </c:tx>
      <c:overlay val="0"/>
    </c:title>
    <c:plotArea>
      <c:layout>
        <c:manualLayout>
          <c:xMode val="edge"/>
          <c:yMode val="edge"/>
          <c:x val="0.10822147651006711"/>
          <c:y val="0.2190925426774484"/>
          <c:w val="0.8606543624161075"/>
          <c:h val="0.5234950584007187"/>
        </c:manualLayout>
      </c:layout>
      <c:barChart>
        <c:barDir val="col"/>
        <c:ser>
          <c:idx val="0"/>
          <c:order val="0"/>
          <c:tx>
            <c:v>% Revenue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'Profit  Loss'!$A$63:$A$72</c:f>
            </c:strRef>
          </c:cat>
          <c:val>
            <c:numRef>
              <c:f>'Profit  Loss'!$B$63:$B$72</c:f>
              <c:numCache/>
            </c:numRef>
          </c:val>
        </c:ser>
        <c:axId val="115499236"/>
        <c:axId val="1599166561"/>
      </c:barChart>
      <c:lineChart>
        <c:varyColors val="0"/>
        <c:ser>
          <c:idx val="1"/>
          <c:order val="1"/>
          <c:tx>
            <c:v>Cumulative Revenue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'Profit  Loss'!$A$63:$A$72</c:f>
            </c:strRef>
          </c:cat>
          <c:val>
            <c:numRef>
              <c:f>'Profit  Loss'!$C$63:$C$72</c:f>
              <c:numCache/>
            </c:numRef>
          </c:val>
          <c:smooth val="0"/>
        </c:ser>
        <c:axId val="115499236"/>
        <c:axId val="1599166561"/>
      </c:lineChart>
      <c:catAx>
        <c:axId val="1154992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9166561"/>
      </c:catAx>
      <c:valAx>
        <c:axId val="15991665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49923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SALES, TOTAL EXPENDOTURE and PROFIT / LOSS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'Profit  Loss'!$B$84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'Profit  Loss'!$A$85:$A$115</c:f>
            </c:strRef>
          </c:cat>
          <c:val>
            <c:numRef>
              <c:f>'Profit  Loss'!$B$85:$B$115</c:f>
              <c:numCache/>
            </c:numRef>
          </c:val>
        </c:ser>
        <c:ser>
          <c:idx val="1"/>
          <c:order val="1"/>
          <c:tx>
            <c:strRef>
              <c:f>'Profit  Loss'!$C$84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'Profit  Loss'!$A$85:$A$115</c:f>
            </c:strRef>
          </c:cat>
          <c:val>
            <c:numRef>
              <c:f>'Profit  Loss'!$C$85:$C$115</c:f>
              <c:numCache/>
            </c:numRef>
          </c:val>
        </c:ser>
        <c:axId val="687991851"/>
        <c:axId val="687321952"/>
      </c:barChart>
      <c:lineChart>
        <c:varyColors val="0"/>
        <c:ser>
          <c:idx val="2"/>
          <c:order val="2"/>
          <c:tx>
            <c:strRef>
              <c:f>'Profit  Loss'!$D$84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'Profit  Loss'!$A$85:$A$115</c:f>
            </c:strRef>
          </c:cat>
          <c:val>
            <c:numRef>
              <c:f>'Profit  Loss'!$D$85:$D$115</c:f>
              <c:numCache/>
            </c:numRef>
          </c:val>
          <c:smooth val="0"/>
        </c:ser>
        <c:axId val="687991851"/>
        <c:axId val="687321952"/>
      </c:lineChart>
      <c:catAx>
        <c:axId val="6879918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7321952"/>
      </c:catAx>
      <c:valAx>
        <c:axId val="6873219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799185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Profit/Loss Trend</a:t>
            </a:r>
          </a:p>
        </c:rich>
      </c:tx>
      <c:overlay val="0"/>
    </c:title>
    <c:plotArea>
      <c:layout>
        <c:manualLayout>
          <c:xMode val="edge"/>
          <c:yMode val="edge"/>
          <c:x val="0.07390873015873016"/>
          <c:y val="0.19059662775616085"/>
          <c:w val="0.900595238095238"/>
          <c:h val="0.615823605706874"/>
        </c:manualLayout>
      </c:layout>
      <c:barChart>
        <c:barDir val="col"/>
        <c:ser>
          <c:idx val="0"/>
          <c:order val="0"/>
          <c:tx>
            <c:strRef>
              <c:f>'Profit  Loss'!$D$84</c:f>
            </c:strRef>
          </c:tx>
          <c:spPr>
            <a:solidFill>
              <a:schemeClr val="accent1"/>
            </a:solidFill>
            <a:ln cmpd="sng">
              <a:solidFill>
                <a:srgbClr val="000000">
                  <a:alpha val="0"/>
                </a:srgbClr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1000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>Trendline for PROFIT / LOSS</c:name>
            <c:spPr>
              <a:ln w="19050">
                <a:solidFill>
                  <a:srgbClr val="FF0000">
                    <a:alpha val="40000"/>
                  </a:srgbClr>
                </a:solidFill>
              </a:ln>
            </c:spPr>
            <c:trendlineType val="exp"/>
            <c:dispRSqr val="0"/>
            <c:dispEq val="0"/>
          </c:trendline>
          <c:cat>
            <c:strRef>
              <c:f>'Profit  Loss'!$A$85:$A$115</c:f>
            </c:strRef>
          </c:cat>
          <c:val>
            <c:numRef>
              <c:f>'Profit  Loss'!$D$85:$D$115</c:f>
              <c:numCache/>
            </c:numRef>
          </c:val>
        </c:ser>
        <c:axId val="1057406261"/>
        <c:axId val="1286778244"/>
      </c:barChart>
      <c:catAx>
        <c:axId val="10574062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6778244"/>
      </c:catAx>
      <c:valAx>
        <c:axId val="12867782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[$₹]#,##0" sourceLinked="0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7406261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SALES and PROFIT / LOSS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'Profit  Loss'!$B$84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'Profit  Loss'!$A$85:$A$115</c:f>
            </c:strRef>
          </c:cat>
          <c:val>
            <c:numRef>
              <c:f>'Profit  Loss'!$B$85:$B$115</c:f>
              <c:numCache/>
            </c:numRef>
          </c:val>
        </c:ser>
        <c:axId val="166707793"/>
        <c:axId val="2062681752"/>
      </c:barChart>
      <c:lineChart>
        <c:varyColors val="0"/>
        <c:ser>
          <c:idx val="1"/>
          <c:order val="1"/>
          <c:tx>
            <c:strRef>
              <c:f>'Profit  Loss'!$D$84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'Profit  Loss'!$A$85:$A$115</c:f>
            </c:strRef>
          </c:cat>
          <c:val>
            <c:numRef>
              <c:f>'Profit  Loss'!$D$85:$D$115</c:f>
              <c:numCache/>
            </c:numRef>
          </c:val>
          <c:smooth val="0"/>
        </c:ser>
        <c:axId val="166707793"/>
        <c:axId val="2062681752"/>
      </c:lineChart>
      <c:catAx>
        <c:axId val="1667077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2681752"/>
      </c:catAx>
      <c:valAx>
        <c:axId val="20626817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70779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EXPENDOTURE and PROFIT / LOSS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'Profit  Loss'!$C$84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'Profit  Loss'!$A$85:$A$115</c:f>
            </c:strRef>
          </c:cat>
          <c:val>
            <c:numRef>
              <c:f>'Profit  Loss'!$C$85:$C$115</c:f>
              <c:numCache/>
            </c:numRef>
          </c:val>
        </c:ser>
        <c:axId val="567414974"/>
        <c:axId val="400872323"/>
      </c:barChart>
      <c:lineChart>
        <c:varyColors val="0"/>
        <c:ser>
          <c:idx val="1"/>
          <c:order val="1"/>
          <c:tx>
            <c:strRef>
              <c:f>'Profit  Loss'!$D$84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'Profit  Loss'!$A$85:$A$115</c:f>
            </c:strRef>
          </c:cat>
          <c:val>
            <c:numRef>
              <c:f>'Profit  Loss'!$D$85:$D$115</c:f>
              <c:numCache/>
            </c:numRef>
          </c:val>
          <c:smooth val="0"/>
        </c:ser>
        <c:axId val="567414974"/>
        <c:axId val="400872323"/>
      </c:lineChart>
      <c:catAx>
        <c:axId val="5674149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00872323"/>
      </c:catAx>
      <c:valAx>
        <c:axId val="4008723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741497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Avg Purchase Price VS Avg Selling Price</a:t>
            </a:r>
          </a:p>
        </c:rich>
      </c:tx>
      <c:overlay val="0"/>
    </c:title>
    <c:plotArea>
      <c:layout>
        <c:manualLayout>
          <c:xMode val="edge"/>
          <c:yMode val="edge"/>
          <c:x val="0.07933042212518195"/>
          <c:y val="0.2107260726072607"/>
          <c:w val="0.8912663755458514"/>
          <c:h val="0.5601900004304784"/>
        </c:manualLayout>
      </c:layout>
      <c:barChart>
        <c:barDir val="col"/>
        <c:ser>
          <c:idx val="0"/>
          <c:order val="0"/>
          <c:tx>
            <c:strRef>
              <c:f>'Profit  Loss'!$A$2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'Profit  Loss'!$B$1:$K$1</c:f>
            </c:strRef>
          </c:cat>
          <c:val>
            <c:numRef>
              <c:f>'Profit  Loss'!$B$2:$K$2</c:f>
              <c:numCache/>
            </c:numRef>
          </c:val>
        </c:ser>
        <c:ser>
          <c:idx val="1"/>
          <c:order val="1"/>
          <c:tx>
            <c:strRef>
              <c:f>'Profit  Loss'!$A$3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'Profit  Loss'!$B$1:$K$1</c:f>
            </c:strRef>
          </c:cat>
          <c:val>
            <c:numRef>
              <c:f>'Profit  Loss'!$B$3:$K$3</c:f>
              <c:numCache/>
            </c:numRef>
          </c:val>
        </c:ser>
        <c:axId val="1909840952"/>
        <c:axId val="147751221"/>
      </c:barChart>
      <c:catAx>
        <c:axId val="19098409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751221"/>
      </c:catAx>
      <c:valAx>
        <c:axId val="1477512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Rupees 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984095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Avg Profit </a:t>
            </a:r>
          </a:p>
        </c:rich>
      </c:tx>
      <c:overlay val="0"/>
    </c:title>
    <c:plotArea>
      <c:layout>
        <c:manualLayout>
          <c:xMode val="edge"/>
          <c:yMode val="edge"/>
          <c:x val="0.09416666666666666"/>
          <c:y val="0.15341419586702604"/>
          <c:w val="0.8749166666666668"/>
          <c:h val="0.6107367475292004"/>
        </c:manualLayout>
      </c:layout>
      <c:barChart>
        <c:barDir val="col"/>
        <c:ser>
          <c:idx val="0"/>
          <c:order val="0"/>
          <c:tx>
            <c:strRef>
              <c:f>'Profit  Loss'!$A$4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'Profit  Loss'!$B$5:$K$5</c:f>
            </c:strRef>
          </c:cat>
          <c:val>
            <c:numRef>
              <c:f>'Profit  Loss'!$B$4:$K$4</c:f>
              <c:numCache/>
            </c:numRef>
          </c:val>
        </c:ser>
        <c:axId val="312826715"/>
        <c:axId val="1830046639"/>
      </c:barChart>
      <c:catAx>
        <c:axId val="3128267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0046639"/>
      </c:catAx>
      <c:valAx>
        <c:axId val="18300466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Rupees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282671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Arial"/>
              </a:defRPr>
            </a:pPr>
            <a:r>
              <a:rPr b="0" i="0">
                <a:solidFill>
                  <a:srgbClr val="757575"/>
                </a:solidFill>
                <a:latin typeface="Arial"/>
              </a:rPr>
              <a:t>MONTHLY REVENUE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rgbClr val="4A86E8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dLbl>
              <c:idx val="0"/>
              <c:tx>
                <c:rich>
                  <a:bodyPr/>
                  <a:lstStyle/>
                  <a:p>
                    <a:pPr lvl="0">
                      <a:defRPr b="0" i="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0" i="0">
                        <a:solidFill>
                          <a:srgbClr val="000000"/>
                        </a:solidFill>
                        <a:latin typeface="Roboto"/>
                      </a:rPr>
                      <a:t>7.3Lakhs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1" i="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'PL &amp; INSIGHTS'!$A$18</c:f>
            </c:strRef>
          </c:cat>
          <c:val>
            <c:numRef>
              <c:f>'PL &amp; INSIGHTS'!$B$18</c:f>
              <c:numCache/>
            </c:numRef>
          </c:val>
        </c:ser>
        <c:axId val="1245808119"/>
        <c:axId val="1235194475"/>
      </c:barChart>
      <c:catAx>
        <c:axId val="124580811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Arial"/>
              </a:defRPr>
            </a:pPr>
          </a:p>
        </c:txPr>
        <c:crossAx val="1235194475"/>
      </c:catAx>
      <c:valAx>
        <c:axId val="1235194475"/>
        <c:scaling>
          <c:orientation val="minMax"/>
          <c:max val="80000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>
                    <a:solidFill>
                      <a:srgbClr val="000000"/>
                    </a:solidFill>
                    <a:latin typeface="Arial"/>
                  </a:rPr>
                  <a:t>VALUE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Arial"/>
              </a:defRPr>
            </a:pPr>
          </a:p>
        </c:txPr>
        <c:crossAx val="1245808119"/>
        <c:crosses val="max"/>
      </c:valAx>
    </c:plotArea>
    <c:plotVisOnly val="1"/>
  </c:chart>
</c:chartSpace>
</file>

<file path=xl/charts/chart2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Arial"/>
              </a:defRPr>
            </a:pPr>
            <a:r>
              <a:rPr b="0" i="0">
                <a:solidFill>
                  <a:srgbClr val="757575"/>
                </a:solidFill>
                <a:latin typeface="Arial"/>
              </a:rPr>
              <a:t>PROPORTION OF FIXED COSTS</a:t>
            </a:r>
          </a:p>
        </c:rich>
      </c:tx>
      <c:overlay val="0"/>
    </c:title>
    <c:plotArea>
      <c:layout>
        <c:manualLayout>
          <c:xMode val="edge"/>
          <c:yMode val="edge"/>
          <c:x val="0.1525"/>
          <c:y val="0.13724168912848156"/>
          <c:w val="0.5411916087962964"/>
          <c:h val="0.8127583108715183"/>
        </c:manualLayout>
      </c:layout>
      <c:pieChart>
        <c:varyColors val="1"/>
        <c:ser>
          <c:idx val="0"/>
          <c:order val="0"/>
          <c:tx>
            <c:strRef>
              <c:f>'PL &amp; INSIGHTS'!$D$2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'PL &amp; INSIGHTS'!$A$3:$A$12</c:f>
            </c:strRef>
          </c:cat>
          <c:val>
            <c:numRef>
              <c:f>'PL &amp; INSIGHTS'!$D$3:$D$11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3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Insights</a:t>
            </a:r>
          </a:p>
        </c:rich>
      </c:tx>
      <c:overlay val="0"/>
    </c:title>
    <c:plotArea>
      <c:layout>
        <c:manualLayout>
          <c:xMode val="edge"/>
          <c:yMode val="edge"/>
          <c:x val="0.1675"/>
          <c:y val="0.1372416891284816"/>
          <c:w val="0.8015833333333334"/>
          <c:h val="0.667205750224618"/>
        </c:manualLayout>
      </c:layout>
      <c:barChart>
        <c:barDir val="bar"/>
        <c:ser>
          <c:idx val="0"/>
          <c:order val="0"/>
          <c:tx>
            <c:strRef>
              <c:f>'PL &amp; INSIGHTS'!$B$16:$B$17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'PL &amp; INSIGHTS'!$A$18:$A$22</c:f>
            </c:strRef>
          </c:cat>
          <c:val>
            <c:numRef>
              <c:f>'PL &amp; INSIGHTS'!$B$18:$B$22</c:f>
              <c:numCache/>
            </c:numRef>
          </c:val>
        </c:ser>
        <c:axId val="816362190"/>
        <c:axId val="573489118"/>
      </c:barChart>
      <c:catAx>
        <c:axId val="81636219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VARIABLES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73489118"/>
      </c:catAx>
      <c:valAx>
        <c:axId val="573489118"/>
        <c:scaling>
          <c:orientation val="minMax"/>
          <c:max val="80000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VALUE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636219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Relationship Id="rId3" Type="http://schemas.openxmlformats.org/officeDocument/2006/relationships/chart" Target="../charts/chart12.xml"/><Relationship Id="rId4" Type="http://schemas.openxmlformats.org/officeDocument/2006/relationships/chart" Target="../charts/chart13.xml"/><Relationship Id="rId5" Type="http://schemas.openxmlformats.org/officeDocument/2006/relationships/chart" Target="../charts/chart14.xml"/><Relationship Id="rId6" Type="http://schemas.openxmlformats.org/officeDocument/2006/relationships/chart" Target="../charts/chart15.xml"/><Relationship Id="rId7" Type="http://schemas.openxmlformats.org/officeDocument/2006/relationships/chart" Target="../charts/char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7.xml"/><Relationship Id="rId2" Type="http://schemas.openxmlformats.org/officeDocument/2006/relationships/chart" Target="../charts/chart18.xml"/><Relationship Id="rId3" Type="http://schemas.openxmlformats.org/officeDocument/2006/relationships/chart" Target="../charts/chart19.xml"/><Relationship Id="rId4" Type="http://schemas.openxmlformats.org/officeDocument/2006/relationships/chart" Target="../charts/chart20.xml"/><Relationship Id="rId11" Type="http://schemas.openxmlformats.org/officeDocument/2006/relationships/chart" Target="../charts/chart27.xml"/><Relationship Id="rId10" Type="http://schemas.openxmlformats.org/officeDocument/2006/relationships/chart" Target="../charts/chart26.xml"/><Relationship Id="rId9" Type="http://schemas.openxmlformats.org/officeDocument/2006/relationships/chart" Target="../charts/chart25.xml"/><Relationship Id="rId5" Type="http://schemas.openxmlformats.org/officeDocument/2006/relationships/chart" Target="../charts/chart21.xml"/><Relationship Id="rId6" Type="http://schemas.openxmlformats.org/officeDocument/2006/relationships/chart" Target="../charts/chart22.xml"/><Relationship Id="rId7" Type="http://schemas.openxmlformats.org/officeDocument/2006/relationships/chart" Target="../charts/chart23.xml"/><Relationship Id="rId8" Type="http://schemas.openxmlformats.org/officeDocument/2006/relationships/chart" Target="../charts/chart2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8.xml"/><Relationship Id="rId2" Type="http://schemas.openxmlformats.org/officeDocument/2006/relationships/chart" Target="../charts/chart29.xml"/><Relationship Id="rId3" Type="http://schemas.openxmlformats.org/officeDocument/2006/relationships/chart" Target="../charts/chart30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876300</xdr:colOff>
      <xdr:row>37</xdr:row>
      <xdr:rowOff>57150</xdr:rowOff>
    </xdr:from>
    <xdr:ext cx="5562600" cy="34861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17</xdr:col>
      <xdr:colOff>133350</xdr:colOff>
      <xdr:row>37</xdr:row>
      <xdr:rowOff>28575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200025</xdr:colOff>
      <xdr:row>37</xdr:row>
      <xdr:rowOff>57150</xdr:rowOff>
    </xdr:from>
    <xdr:ext cx="5514975" cy="348615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6</xdr:col>
      <xdr:colOff>466725</xdr:colOff>
      <xdr:row>37</xdr:row>
      <xdr:rowOff>57150</xdr:rowOff>
    </xdr:from>
    <xdr:ext cx="5562600" cy="348615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</xdr:col>
      <xdr:colOff>200025</xdr:colOff>
      <xdr:row>55</xdr:row>
      <xdr:rowOff>200025</xdr:rowOff>
    </xdr:from>
    <xdr:ext cx="6600825" cy="408622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7</xdr:col>
      <xdr:colOff>1095375</xdr:colOff>
      <xdr:row>56</xdr:row>
      <xdr:rowOff>0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685800</xdr:colOff>
      <xdr:row>37</xdr:row>
      <xdr:rowOff>190500</xdr:rowOff>
    </xdr:from>
    <xdr:ext cx="7877175" cy="4533900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142875</xdr:colOff>
      <xdr:row>39</xdr:row>
      <xdr:rowOff>95250</xdr:rowOff>
    </xdr:from>
    <xdr:ext cx="6372225" cy="393382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76200</xdr:colOff>
      <xdr:row>60</xdr:row>
      <xdr:rowOff>19050</xdr:rowOff>
    </xdr:from>
    <xdr:ext cx="6372225" cy="393382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57</xdr:row>
      <xdr:rowOff>161925</xdr:rowOff>
    </xdr:from>
    <xdr:ext cx="5715000" cy="353377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495300</xdr:colOff>
      <xdr:row>39</xdr:row>
      <xdr:rowOff>47625</xdr:rowOff>
    </xdr:from>
    <xdr:ext cx="5715000" cy="3533775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</xdr:col>
      <xdr:colOff>495300</xdr:colOff>
      <xdr:row>57</xdr:row>
      <xdr:rowOff>161925</xdr:rowOff>
    </xdr:from>
    <xdr:ext cx="6057900" cy="3743325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</xdr:col>
      <xdr:colOff>0</xdr:colOff>
      <xdr:row>39</xdr:row>
      <xdr:rowOff>28575</xdr:rowOff>
    </xdr:from>
    <xdr:ext cx="5715000" cy="3533775"/>
    <xdr:graphicFrame>
      <xdr:nvGraphicFramePr>
        <xdr:cNvPr id="13" name="Chart 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0</xdr:colOff>
      <xdr:row>39</xdr:row>
      <xdr:rowOff>47625</xdr:rowOff>
    </xdr:from>
    <xdr:ext cx="5715000" cy="3533775"/>
    <xdr:graphicFrame>
      <xdr:nvGraphicFramePr>
        <xdr:cNvPr id="14" name="Chart 1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</xdr:col>
      <xdr:colOff>0</xdr:colOff>
      <xdr:row>79</xdr:row>
      <xdr:rowOff>95250</xdr:rowOff>
    </xdr:from>
    <xdr:ext cx="7096125" cy="4391025"/>
    <xdr:graphicFrame>
      <xdr:nvGraphicFramePr>
        <xdr:cNvPr id="15" name="Chart 1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11</xdr:col>
      <xdr:colOff>1333500</xdr:colOff>
      <xdr:row>57</xdr:row>
      <xdr:rowOff>161925</xdr:rowOff>
    </xdr:from>
    <xdr:ext cx="5715000" cy="3533775"/>
    <xdr:graphicFrame>
      <xdr:nvGraphicFramePr>
        <xdr:cNvPr id="16" name="Chart 1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19</xdr:row>
      <xdr:rowOff>38100</xdr:rowOff>
    </xdr:from>
    <xdr:ext cx="5715000" cy="3533775"/>
    <xdr:graphicFrame>
      <xdr:nvGraphicFramePr>
        <xdr:cNvPr id="17" name="Chart 1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238125</xdr:colOff>
      <xdr:row>19</xdr:row>
      <xdr:rowOff>57150</xdr:rowOff>
    </xdr:from>
    <xdr:ext cx="5876925" cy="3495675"/>
    <xdr:graphicFrame>
      <xdr:nvGraphicFramePr>
        <xdr:cNvPr id="18" name="Chart 1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15</xdr:col>
      <xdr:colOff>819150</xdr:colOff>
      <xdr:row>19</xdr:row>
      <xdr:rowOff>38100</xdr:rowOff>
    </xdr:from>
    <xdr:ext cx="5715000" cy="3533775"/>
    <xdr:graphicFrame>
      <xdr:nvGraphicFramePr>
        <xdr:cNvPr id="19" name="Chart 1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3</xdr:col>
      <xdr:colOff>619125</xdr:colOff>
      <xdr:row>41</xdr:row>
      <xdr:rowOff>9525</xdr:rowOff>
    </xdr:from>
    <xdr:ext cx="5715000" cy="3533775"/>
    <xdr:graphicFrame>
      <xdr:nvGraphicFramePr>
        <xdr:cNvPr id="20" name="Chart 2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3</xdr:col>
      <xdr:colOff>638175</xdr:colOff>
      <xdr:row>60</xdr:row>
      <xdr:rowOff>19050</xdr:rowOff>
    </xdr:from>
    <xdr:ext cx="5676900" cy="3533775"/>
    <xdr:graphicFrame>
      <xdr:nvGraphicFramePr>
        <xdr:cNvPr id="21" name="Chart 2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4</xdr:col>
      <xdr:colOff>342900</xdr:colOff>
      <xdr:row>81</xdr:row>
      <xdr:rowOff>104775</xdr:rowOff>
    </xdr:from>
    <xdr:ext cx="7724775" cy="5257800"/>
    <xdr:graphicFrame>
      <xdr:nvGraphicFramePr>
        <xdr:cNvPr id="22" name="Chart 2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8</xdr:col>
      <xdr:colOff>1019175</xdr:colOff>
      <xdr:row>19</xdr:row>
      <xdr:rowOff>38100</xdr:rowOff>
    </xdr:from>
    <xdr:ext cx="6753225" cy="3657600"/>
    <xdr:graphicFrame>
      <xdr:nvGraphicFramePr>
        <xdr:cNvPr id="23" name="Chart 2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8</xdr:col>
      <xdr:colOff>723900</xdr:colOff>
      <xdr:row>109</xdr:row>
      <xdr:rowOff>95250</xdr:rowOff>
    </xdr:from>
    <xdr:ext cx="5715000" cy="3533775"/>
    <xdr:graphicFrame>
      <xdr:nvGraphicFramePr>
        <xdr:cNvPr id="24" name="Chart 2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4</xdr:col>
      <xdr:colOff>238125</xdr:colOff>
      <xdr:row>109</xdr:row>
      <xdr:rowOff>95250</xdr:rowOff>
    </xdr:from>
    <xdr:ext cx="5715000" cy="3533775"/>
    <xdr:graphicFrame>
      <xdr:nvGraphicFramePr>
        <xdr:cNvPr id="25" name="Chart 2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11</xdr:col>
      <xdr:colOff>228600</xdr:colOff>
      <xdr:row>0</xdr:row>
      <xdr:rowOff>104775</xdr:rowOff>
    </xdr:from>
    <xdr:ext cx="6067425" cy="3533775"/>
    <xdr:graphicFrame>
      <xdr:nvGraphicFramePr>
        <xdr:cNvPr id="26" name="Chart 2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16</xdr:col>
      <xdr:colOff>1019175</xdr:colOff>
      <xdr:row>0</xdr:row>
      <xdr:rowOff>104775</xdr:rowOff>
    </xdr:from>
    <xdr:ext cx="5715000" cy="3533775"/>
    <xdr:graphicFrame>
      <xdr:nvGraphicFramePr>
        <xdr:cNvPr id="27" name="Chart 2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714375</xdr:colOff>
      <xdr:row>21</xdr:row>
      <xdr:rowOff>104775</xdr:rowOff>
    </xdr:from>
    <xdr:ext cx="5715000" cy="1295400"/>
    <xdr:graphicFrame>
      <xdr:nvGraphicFramePr>
        <xdr:cNvPr id="28" name="Chart 2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714375</xdr:colOff>
      <xdr:row>0</xdr:row>
      <xdr:rowOff>0</xdr:rowOff>
    </xdr:from>
    <xdr:ext cx="5715000" cy="3533775"/>
    <xdr:graphicFrame>
      <xdr:nvGraphicFramePr>
        <xdr:cNvPr id="29" name="Chart 2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</xdr:col>
      <xdr:colOff>714375</xdr:colOff>
      <xdr:row>25</xdr:row>
      <xdr:rowOff>171450</xdr:rowOff>
    </xdr:from>
    <xdr:ext cx="5715000" cy="3533775"/>
    <xdr:graphicFrame>
      <xdr:nvGraphicFramePr>
        <xdr:cNvPr id="30" name="Chart 3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31" width="14.38"/>
    <col customWidth="1" min="32" max="32" width="16.75"/>
    <col customWidth="1" min="33" max="33" width="14.38"/>
  </cols>
  <sheetData>
    <row r="1" ht="15.75" customHeight="1">
      <c r="A1" s="1"/>
      <c r="B1" s="1"/>
      <c r="C1" s="1"/>
      <c r="D1" s="1"/>
      <c r="E1" s="1"/>
      <c r="F1" s="1" t="s">
        <v>0</v>
      </c>
      <c r="G1" s="1"/>
      <c r="H1" s="1"/>
      <c r="I1" s="1"/>
      <c r="J1" s="1"/>
      <c r="K1" s="1"/>
      <c r="L1" s="1"/>
      <c r="M1" s="1"/>
      <c r="N1" s="1"/>
      <c r="O1" s="1"/>
      <c r="P1" s="1" t="s">
        <v>1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 t="s">
        <v>2</v>
      </c>
      <c r="AD1" s="1"/>
      <c r="AE1" s="1"/>
      <c r="AF1" s="1"/>
      <c r="AG1" s="1"/>
    </row>
    <row r="2" ht="15.75" customHeight="1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3" t="s">
        <v>10</v>
      </c>
      <c r="I2" s="2" t="s">
        <v>11</v>
      </c>
      <c r="J2" s="2" t="s">
        <v>12</v>
      </c>
      <c r="K2" s="2" t="s">
        <v>13</v>
      </c>
      <c r="L2" s="2" t="s">
        <v>4</v>
      </c>
      <c r="M2" s="2" t="s">
        <v>5</v>
      </c>
      <c r="N2" s="2" t="s">
        <v>6</v>
      </c>
      <c r="O2" s="2" t="s">
        <v>7</v>
      </c>
      <c r="P2" s="2" t="s">
        <v>8</v>
      </c>
      <c r="Q2" s="2" t="s">
        <v>9</v>
      </c>
      <c r="R2" s="3" t="s">
        <v>10</v>
      </c>
      <c r="S2" s="2" t="s">
        <v>11</v>
      </c>
      <c r="T2" s="2" t="s">
        <v>12</v>
      </c>
      <c r="U2" s="2" t="s">
        <v>13</v>
      </c>
      <c r="V2" s="2" t="s">
        <v>4</v>
      </c>
      <c r="W2" s="2" t="s">
        <v>5</v>
      </c>
      <c r="X2" s="2" t="s">
        <v>6</v>
      </c>
      <c r="Y2" s="2" t="s">
        <v>7</v>
      </c>
      <c r="Z2" s="2" t="s">
        <v>8</v>
      </c>
      <c r="AA2" s="2" t="s">
        <v>9</v>
      </c>
      <c r="AB2" s="3" t="s">
        <v>10</v>
      </c>
      <c r="AC2" s="2" t="s">
        <v>11</v>
      </c>
      <c r="AD2" s="2" t="s">
        <v>12</v>
      </c>
      <c r="AE2" s="2" t="s">
        <v>13</v>
      </c>
      <c r="AF2" s="1" t="s">
        <v>14</v>
      </c>
      <c r="AG2" s="2" t="s">
        <v>3</v>
      </c>
    </row>
    <row r="3" ht="15.75" customHeight="1">
      <c r="A3" s="4">
        <f>DATE(2023,4,1)</f>
        <v>45017</v>
      </c>
      <c r="B3" s="5">
        <v>140.0</v>
      </c>
      <c r="C3" s="5">
        <v>110.0</v>
      </c>
      <c r="D3" s="5">
        <v>24.0</v>
      </c>
      <c r="E3" s="5">
        <v>16.0</v>
      </c>
      <c r="F3" s="5">
        <v>40.0</v>
      </c>
      <c r="G3" s="5">
        <v>70.0</v>
      </c>
      <c r="H3" s="5">
        <v>36.0</v>
      </c>
      <c r="I3" s="5">
        <v>20.0</v>
      </c>
      <c r="J3" s="5">
        <v>56.0</v>
      </c>
      <c r="K3" s="5">
        <v>10.0</v>
      </c>
      <c r="L3" s="6">
        <v>45.0</v>
      </c>
      <c r="M3" s="6">
        <v>41.0</v>
      </c>
      <c r="N3" s="6">
        <v>102.0</v>
      </c>
      <c r="O3" s="6">
        <v>110.0</v>
      </c>
      <c r="P3" s="6">
        <v>112.0</v>
      </c>
      <c r="Q3" s="6">
        <v>45.0</v>
      </c>
      <c r="R3" s="6">
        <v>165.0</v>
      </c>
      <c r="S3" s="6">
        <v>416.0</v>
      </c>
      <c r="T3" s="6">
        <v>60.0</v>
      </c>
      <c r="U3" s="6">
        <v>855.0</v>
      </c>
      <c r="V3" s="7">
        <f t="shared" ref="V3:AE3" si="1">B3*L3</f>
        <v>6300</v>
      </c>
      <c r="W3" s="7">
        <f t="shared" si="1"/>
        <v>4510</v>
      </c>
      <c r="X3" s="7">
        <f t="shared" si="1"/>
        <v>2448</v>
      </c>
      <c r="Y3" s="7">
        <f t="shared" si="1"/>
        <v>1760</v>
      </c>
      <c r="Z3" s="7">
        <f t="shared" si="1"/>
        <v>4480</v>
      </c>
      <c r="AA3" s="7">
        <f t="shared" si="1"/>
        <v>3150</v>
      </c>
      <c r="AB3" s="7">
        <f t="shared" si="1"/>
        <v>5940</v>
      </c>
      <c r="AC3" s="7">
        <f t="shared" si="1"/>
        <v>8320</v>
      </c>
      <c r="AD3" s="7">
        <f t="shared" si="1"/>
        <v>3360</v>
      </c>
      <c r="AE3" s="7">
        <f t="shared" si="1"/>
        <v>8550</v>
      </c>
      <c r="AF3" s="8">
        <f t="shared" ref="AF3:AF33" si="3">SUM(V3:AE3)</f>
        <v>48818</v>
      </c>
      <c r="AG3" s="4">
        <f>DATE(2023,4,1)</f>
        <v>45017</v>
      </c>
    </row>
    <row r="4" ht="15.75" customHeight="1">
      <c r="A4" s="4">
        <f>DATE(2023,4,2)</f>
        <v>45018</v>
      </c>
      <c r="B4" s="5">
        <v>90.0</v>
      </c>
      <c r="C4" s="5">
        <v>80.0</v>
      </c>
      <c r="D4" s="5">
        <v>28.0</v>
      </c>
      <c r="E4" s="5">
        <v>14.0</v>
      </c>
      <c r="F4" s="5">
        <v>44.0</v>
      </c>
      <c r="G4" s="5">
        <v>48.0</v>
      </c>
      <c r="H4" s="5">
        <v>30.0</v>
      </c>
      <c r="I4" s="5">
        <v>10.0</v>
      </c>
      <c r="J4" s="5">
        <v>50.0</v>
      </c>
      <c r="K4" s="5">
        <v>6.0</v>
      </c>
      <c r="L4" s="6">
        <v>45.0</v>
      </c>
      <c r="M4" s="6">
        <v>41.0</v>
      </c>
      <c r="N4" s="6">
        <v>102.0</v>
      </c>
      <c r="O4" s="6">
        <v>110.0</v>
      </c>
      <c r="P4" s="6">
        <v>112.0</v>
      </c>
      <c r="Q4" s="6">
        <v>45.0</v>
      </c>
      <c r="R4" s="6">
        <v>165.0</v>
      </c>
      <c r="S4" s="6">
        <v>420.0</v>
      </c>
      <c r="T4" s="6">
        <v>60.0</v>
      </c>
      <c r="U4" s="6">
        <v>855.0</v>
      </c>
      <c r="V4" s="7">
        <f t="shared" ref="V4:AE4" si="2">B4*L4</f>
        <v>4050</v>
      </c>
      <c r="W4" s="7">
        <f t="shared" si="2"/>
        <v>3280</v>
      </c>
      <c r="X4" s="7">
        <f t="shared" si="2"/>
        <v>2856</v>
      </c>
      <c r="Y4" s="7">
        <f t="shared" si="2"/>
        <v>1540</v>
      </c>
      <c r="Z4" s="7">
        <f t="shared" si="2"/>
        <v>4928</v>
      </c>
      <c r="AA4" s="7">
        <f t="shared" si="2"/>
        <v>2160</v>
      </c>
      <c r="AB4" s="7">
        <f t="shared" si="2"/>
        <v>4950</v>
      </c>
      <c r="AC4" s="7">
        <f t="shared" si="2"/>
        <v>4200</v>
      </c>
      <c r="AD4" s="7">
        <f t="shared" si="2"/>
        <v>3000</v>
      </c>
      <c r="AE4" s="7">
        <f t="shared" si="2"/>
        <v>5130</v>
      </c>
      <c r="AF4" s="8">
        <f t="shared" si="3"/>
        <v>36094</v>
      </c>
      <c r="AG4" s="4">
        <f>DATE(2023,4,2)</f>
        <v>45018</v>
      </c>
    </row>
    <row r="5" ht="15.75" customHeight="1">
      <c r="A5" s="4">
        <f>DATE(2023,4,3)</f>
        <v>45019</v>
      </c>
      <c r="B5" s="5">
        <v>70.0</v>
      </c>
      <c r="C5" s="5">
        <v>50.0</v>
      </c>
      <c r="D5" s="5">
        <v>20.0</v>
      </c>
      <c r="E5" s="5">
        <v>20.0</v>
      </c>
      <c r="F5" s="5">
        <v>50.0</v>
      </c>
      <c r="G5" s="5">
        <v>40.0</v>
      </c>
      <c r="H5" s="5">
        <v>40.0</v>
      </c>
      <c r="I5" s="5">
        <v>8.0</v>
      </c>
      <c r="J5" s="5">
        <v>58.0</v>
      </c>
      <c r="K5" s="5">
        <v>4.0</v>
      </c>
      <c r="L5" s="6">
        <v>45.0</v>
      </c>
      <c r="M5" s="6">
        <v>41.0</v>
      </c>
      <c r="N5" s="6">
        <v>102.0</v>
      </c>
      <c r="O5" s="6">
        <v>110.0</v>
      </c>
      <c r="P5" s="6">
        <v>112.0</v>
      </c>
      <c r="Q5" s="6">
        <v>45.0</v>
      </c>
      <c r="R5" s="6">
        <v>165.0</v>
      </c>
      <c r="S5" s="6">
        <v>420.0</v>
      </c>
      <c r="T5" s="6">
        <v>60.0</v>
      </c>
      <c r="U5" s="6">
        <v>855.0</v>
      </c>
      <c r="V5" s="7">
        <f t="shared" ref="V5:AE5" si="4">B5*L5</f>
        <v>3150</v>
      </c>
      <c r="W5" s="7">
        <f t="shared" si="4"/>
        <v>2050</v>
      </c>
      <c r="X5" s="7">
        <f t="shared" si="4"/>
        <v>2040</v>
      </c>
      <c r="Y5" s="7">
        <f t="shared" si="4"/>
        <v>2200</v>
      </c>
      <c r="Z5" s="7">
        <f t="shared" si="4"/>
        <v>5600</v>
      </c>
      <c r="AA5" s="7">
        <f t="shared" si="4"/>
        <v>1800</v>
      </c>
      <c r="AB5" s="7">
        <f t="shared" si="4"/>
        <v>6600</v>
      </c>
      <c r="AC5" s="7">
        <f t="shared" si="4"/>
        <v>3360</v>
      </c>
      <c r="AD5" s="7">
        <f t="shared" si="4"/>
        <v>3480</v>
      </c>
      <c r="AE5" s="7">
        <f t="shared" si="4"/>
        <v>3420</v>
      </c>
      <c r="AF5" s="8">
        <f t="shared" si="3"/>
        <v>33700</v>
      </c>
      <c r="AG5" s="4">
        <f>DATE(2023,4,3)</f>
        <v>45019</v>
      </c>
    </row>
    <row r="6" ht="15.75" customHeight="1">
      <c r="A6" s="4">
        <f>DATE(2023,4,4)</f>
        <v>45020</v>
      </c>
      <c r="B6" s="5">
        <v>60.0</v>
      </c>
      <c r="C6" s="5">
        <v>40.0</v>
      </c>
      <c r="D6" s="5">
        <v>22.0</v>
      </c>
      <c r="E6" s="5">
        <v>16.0</v>
      </c>
      <c r="F6" s="5">
        <v>44.0</v>
      </c>
      <c r="G6" s="5">
        <v>42.0</v>
      </c>
      <c r="H6" s="5">
        <v>40.0</v>
      </c>
      <c r="I6" s="5">
        <v>10.0</v>
      </c>
      <c r="J6" s="5">
        <v>64.0</v>
      </c>
      <c r="K6" s="5">
        <v>6.0</v>
      </c>
      <c r="L6" s="6">
        <v>44.0</v>
      </c>
      <c r="M6" s="6">
        <v>41.0</v>
      </c>
      <c r="N6" s="6">
        <v>102.0</v>
      </c>
      <c r="O6" s="6">
        <v>110.0</v>
      </c>
      <c r="P6" s="6">
        <v>112.0</v>
      </c>
      <c r="Q6" s="6">
        <v>43.0</v>
      </c>
      <c r="R6" s="6">
        <v>165.0</v>
      </c>
      <c r="S6" s="6">
        <v>435.0</v>
      </c>
      <c r="T6" s="6">
        <v>60.0</v>
      </c>
      <c r="U6" s="6">
        <v>865.0</v>
      </c>
      <c r="V6" s="7">
        <f t="shared" ref="V6:AE6" si="5">B6*L6</f>
        <v>2640</v>
      </c>
      <c r="W6" s="7">
        <f t="shared" si="5"/>
        <v>1640</v>
      </c>
      <c r="X6" s="7">
        <f t="shared" si="5"/>
        <v>2244</v>
      </c>
      <c r="Y6" s="7">
        <f t="shared" si="5"/>
        <v>1760</v>
      </c>
      <c r="Z6" s="7">
        <f t="shared" si="5"/>
        <v>4928</v>
      </c>
      <c r="AA6" s="7">
        <f t="shared" si="5"/>
        <v>1806</v>
      </c>
      <c r="AB6" s="7">
        <f t="shared" si="5"/>
        <v>6600</v>
      </c>
      <c r="AC6" s="7">
        <f t="shared" si="5"/>
        <v>4350</v>
      </c>
      <c r="AD6" s="7">
        <f t="shared" si="5"/>
        <v>3840</v>
      </c>
      <c r="AE6" s="7">
        <f t="shared" si="5"/>
        <v>5190</v>
      </c>
      <c r="AF6" s="8">
        <f t="shared" si="3"/>
        <v>34998</v>
      </c>
      <c r="AG6" s="4">
        <f>DATE(2023,4,4)</f>
        <v>45020</v>
      </c>
    </row>
    <row r="7" ht="15.75" customHeight="1">
      <c r="A7" s="4">
        <f>DATE(2023,4,5)</f>
        <v>45021</v>
      </c>
      <c r="B7" s="5">
        <v>66.0</v>
      </c>
      <c r="C7" s="5">
        <v>36.0</v>
      </c>
      <c r="D7" s="5">
        <v>18.0</v>
      </c>
      <c r="E7" s="5">
        <v>14.0</v>
      </c>
      <c r="F7" s="5">
        <v>40.0</v>
      </c>
      <c r="G7" s="5">
        <v>48.0</v>
      </c>
      <c r="H7" s="5">
        <v>38.0</v>
      </c>
      <c r="I7" s="5">
        <v>11.0</v>
      </c>
      <c r="J7" s="5">
        <v>75.0</v>
      </c>
      <c r="K7" s="5">
        <v>10.0</v>
      </c>
      <c r="L7" s="6">
        <v>44.0</v>
      </c>
      <c r="M7" s="6">
        <v>41.0</v>
      </c>
      <c r="N7" s="6">
        <v>102.0</v>
      </c>
      <c r="O7" s="6">
        <v>110.0</v>
      </c>
      <c r="P7" s="6">
        <v>112.0</v>
      </c>
      <c r="Q7" s="6">
        <v>43.0</v>
      </c>
      <c r="R7" s="6">
        <v>165.0</v>
      </c>
      <c r="S7" s="6">
        <v>435.0</v>
      </c>
      <c r="T7" s="6">
        <v>60.0</v>
      </c>
      <c r="U7" s="6">
        <v>865.0</v>
      </c>
      <c r="V7" s="7">
        <f t="shared" ref="V7:AE7" si="6">B7*L7</f>
        <v>2904</v>
      </c>
      <c r="W7" s="7">
        <f t="shared" si="6"/>
        <v>1476</v>
      </c>
      <c r="X7" s="7">
        <f t="shared" si="6"/>
        <v>1836</v>
      </c>
      <c r="Y7" s="7">
        <f t="shared" si="6"/>
        <v>1540</v>
      </c>
      <c r="Z7" s="7">
        <f t="shared" si="6"/>
        <v>4480</v>
      </c>
      <c r="AA7" s="7">
        <f t="shared" si="6"/>
        <v>2064</v>
      </c>
      <c r="AB7" s="7">
        <f t="shared" si="6"/>
        <v>6270</v>
      </c>
      <c r="AC7" s="7">
        <f t="shared" si="6"/>
        <v>4785</v>
      </c>
      <c r="AD7" s="7">
        <f t="shared" si="6"/>
        <v>4500</v>
      </c>
      <c r="AE7" s="7">
        <f t="shared" si="6"/>
        <v>8650</v>
      </c>
      <c r="AF7" s="8">
        <f t="shared" si="3"/>
        <v>38505</v>
      </c>
      <c r="AG7" s="4">
        <f>DATE(2023,4,5)</f>
        <v>45021</v>
      </c>
    </row>
    <row r="8" ht="15.75" customHeight="1">
      <c r="A8" s="4">
        <f>DATE(2023,4,6)</f>
        <v>45022</v>
      </c>
      <c r="B8" s="5">
        <v>20.0</v>
      </c>
      <c r="C8" s="5">
        <v>24.0</v>
      </c>
      <c r="D8" s="5">
        <v>8.0</v>
      </c>
      <c r="E8" s="5">
        <v>8.0</v>
      </c>
      <c r="F8" s="5">
        <v>4.0</v>
      </c>
      <c r="G8" s="5">
        <v>10.0</v>
      </c>
      <c r="H8" s="5">
        <v>8.0</v>
      </c>
      <c r="I8" s="5">
        <v>4.0</v>
      </c>
      <c r="J8" s="5">
        <v>60.0</v>
      </c>
      <c r="K8" s="5">
        <v>0.0</v>
      </c>
      <c r="L8" s="6">
        <v>44.0</v>
      </c>
      <c r="M8" s="6">
        <v>41.0</v>
      </c>
      <c r="N8" s="6">
        <v>102.0</v>
      </c>
      <c r="O8" s="6">
        <v>110.0</v>
      </c>
      <c r="P8" s="6">
        <v>112.0</v>
      </c>
      <c r="Q8" s="6">
        <v>43.0</v>
      </c>
      <c r="R8" s="6">
        <v>165.0</v>
      </c>
      <c r="S8" s="6">
        <v>435.0</v>
      </c>
      <c r="T8" s="6">
        <v>60.0</v>
      </c>
      <c r="U8" s="6">
        <v>865.0</v>
      </c>
      <c r="V8" s="7">
        <f t="shared" ref="V8:AE8" si="7">B8*L8</f>
        <v>880</v>
      </c>
      <c r="W8" s="7">
        <f t="shared" si="7"/>
        <v>984</v>
      </c>
      <c r="X8" s="7">
        <f t="shared" si="7"/>
        <v>816</v>
      </c>
      <c r="Y8" s="7">
        <f t="shared" si="7"/>
        <v>880</v>
      </c>
      <c r="Z8" s="7">
        <f t="shared" si="7"/>
        <v>448</v>
      </c>
      <c r="AA8" s="7">
        <f t="shared" si="7"/>
        <v>430</v>
      </c>
      <c r="AB8" s="7">
        <f t="shared" si="7"/>
        <v>1320</v>
      </c>
      <c r="AC8" s="7">
        <f t="shared" si="7"/>
        <v>1740</v>
      </c>
      <c r="AD8" s="7">
        <f t="shared" si="7"/>
        <v>3600</v>
      </c>
      <c r="AE8" s="7">
        <f t="shared" si="7"/>
        <v>0</v>
      </c>
      <c r="AF8" s="8">
        <f t="shared" si="3"/>
        <v>11098</v>
      </c>
      <c r="AG8" s="4">
        <f>DATE(2023,4,6)</f>
        <v>45022</v>
      </c>
    </row>
    <row r="9" ht="15.75" customHeight="1">
      <c r="A9" s="4">
        <f>DATE(2023,4,7)</f>
        <v>45023</v>
      </c>
      <c r="B9" s="5">
        <v>40.0</v>
      </c>
      <c r="C9" s="5">
        <v>20.0</v>
      </c>
      <c r="D9" s="5">
        <v>8.0</v>
      </c>
      <c r="E9" s="5">
        <v>6.0</v>
      </c>
      <c r="F9" s="5">
        <v>8.0</v>
      </c>
      <c r="G9" s="5">
        <v>8.0</v>
      </c>
      <c r="H9" s="5">
        <v>6.0</v>
      </c>
      <c r="I9" s="5">
        <v>2.0</v>
      </c>
      <c r="J9" s="5">
        <v>60.0</v>
      </c>
      <c r="K9" s="5">
        <v>2.0</v>
      </c>
      <c r="L9" s="6">
        <v>46.0</v>
      </c>
      <c r="M9" s="6">
        <v>41.0</v>
      </c>
      <c r="N9" s="6">
        <v>104.0</v>
      </c>
      <c r="O9" s="6">
        <v>110.0</v>
      </c>
      <c r="P9" s="6">
        <v>112.0</v>
      </c>
      <c r="Q9" s="6">
        <v>43.0</v>
      </c>
      <c r="R9" s="6">
        <v>162.0</v>
      </c>
      <c r="S9" s="6">
        <v>435.0</v>
      </c>
      <c r="T9" s="6">
        <v>60.0</v>
      </c>
      <c r="U9" s="6">
        <v>865.0</v>
      </c>
      <c r="V9" s="7">
        <f t="shared" ref="V9:AE9" si="8">B9*L9</f>
        <v>1840</v>
      </c>
      <c r="W9" s="7">
        <f t="shared" si="8"/>
        <v>820</v>
      </c>
      <c r="X9" s="7">
        <f t="shared" si="8"/>
        <v>832</v>
      </c>
      <c r="Y9" s="7">
        <f t="shared" si="8"/>
        <v>660</v>
      </c>
      <c r="Z9" s="7">
        <f t="shared" si="8"/>
        <v>896</v>
      </c>
      <c r="AA9" s="7">
        <f t="shared" si="8"/>
        <v>344</v>
      </c>
      <c r="AB9" s="7">
        <f t="shared" si="8"/>
        <v>972</v>
      </c>
      <c r="AC9" s="7">
        <f t="shared" si="8"/>
        <v>870</v>
      </c>
      <c r="AD9" s="7">
        <f t="shared" si="8"/>
        <v>3600</v>
      </c>
      <c r="AE9" s="7">
        <f t="shared" si="8"/>
        <v>1730</v>
      </c>
      <c r="AF9" s="8">
        <f t="shared" si="3"/>
        <v>12564</v>
      </c>
      <c r="AG9" s="4">
        <f>DATE(2023,4,7)</f>
        <v>45023</v>
      </c>
    </row>
    <row r="10" ht="15.75" customHeight="1">
      <c r="A10" s="4">
        <f>DATE(2023,4,8)</f>
        <v>45024</v>
      </c>
      <c r="B10" s="5">
        <v>40.0</v>
      </c>
      <c r="C10" s="5">
        <v>24.0</v>
      </c>
      <c r="D10" s="5">
        <v>8.0</v>
      </c>
      <c r="E10" s="5">
        <v>6.0</v>
      </c>
      <c r="F10" s="5">
        <v>6.0</v>
      </c>
      <c r="G10" s="5">
        <v>10.0</v>
      </c>
      <c r="H10" s="5">
        <v>8.0</v>
      </c>
      <c r="I10" s="5">
        <v>4.0</v>
      </c>
      <c r="J10" s="5">
        <v>59.0</v>
      </c>
      <c r="K10" s="5">
        <v>4.0</v>
      </c>
      <c r="L10" s="6">
        <v>44.0</v>
      </c>
      <c r="M10" s="6">
        <v>42.0</v>
      </c>
      <c r="N10" s="6">
        <v>104.0</v>
      </c>
      <c r="O10" s="6">
        <v>110.0</v>
      </c>
      <c r="P10" s="6">
        <v>112.0</v>
      </c>
      <c r="Q10" s="6">
        <v>43.0</v>
      </c>
      <c r="R10" s="6">
        <v>162.0</v>
      </c>
      <c r="S10" s="6">
        <v>435.0</v>
      </c>
      <c r="T10" s="6">
        <v>60.0</v>
      </c>
      <c r="U10" s="6">
        <v>865.0</v>
      </c>
      <c r="V10" s="7">
        <f t="shared" ref="V10:AE10" si="9">B10*L10</f>
        <v>1760</v>
      </c>
      <c r="W10" s="7">
        <f t="shared" si="9"/>
        <v>1008</v>
      </c>
      <c r="X10" s="7">
        <f t="shared" si="9"/>
        <v>832</v>
      </c>
      <c r="Y10" s="7">
        <f t="shared" si="9"/>
        <v>660</v>
      </c>
      <c r="Z10" s="7">
        <f t="shared" si="9"/>
        <v>672</v>
      </c>
      <c r="AA10" s="7">
        <f t="shared" si="9"/>
        <v>430</v>
      </c>
      <c r="AB10" s="7">
        <f t="shared" si="9"/>
        <v>1296</v>
      </c>
      <c r="AC10" s="7">
        <f t="shared" si="9"/>
        <v>1740</v>
      </c>
      <c r="AD10" s="7">
        <f t="shared" si="9"/>
        <v>3540</v>
      </c>
      <c r="AE10" s="7">
        <f t="shared" si="9"/>
        <v>3460</v>
      </c>
      <c r="AF10" s="8">
        <f t="shared" si="3"/>
        <v>15398</v>
      </c>
      <c r="AG10" s="4">
        <f>DATE(2023,4,8)</f>
        <v>45024</v>
      </c>
    </row>
    <row r="11" ht="15.75" customHeight="1">
      <c r="A11" s="4">
        <f>DATE(2023,4,9)</f>
        <v>45025</v>
      </c>
      <c r="B11" s="5">
        <v>60.0</v>
      </c>
      <c r="C11" s="5">
        <v>30.0</v>
      </c>
      <c r="D11" s="5">
        <v>6.0</v>
      </c>
      <c r="E11" s="5">
        <v>4.0</v>
      </c>
      <c r="F11" s="5">
        <v>4.0</v>
      </c>
      <c r="G11" s="5">
        <v>6.0</v>
      </c>
      <c r="H11" s="5">
        <v>6.0</v>
      </c>
      <c r="I11" s="5">
        <v>4.0</v>
      </c>
      <c r="J11" s="5">
        <v>80.0</v>
      </c>
      <c r="K11" s="5">
        <v>4.0</v>
      </c>
      <c r="L11" s="6">
        <v>44.0</v>
      </c>
      <c r="M11" s="6">
        <v>42.0</v>
      </c>
      <c r="N11" s="6">
        <v>104.0</v>
      </c>
      <c r="O11" s="6">
        <v>110.0</v>
      </c>
      <c r="P11" s="6">
        <v>112.0</v>
      </c>
      <c r="Q11" s="6">
        <v>43.0</v>
      </c>
      <c r="R11" s="6">
        <v>162.0</v>
      </c>
      <c r="S11" s="6">
        <v>435.0</v>
      </c>
      <c r="T11" s="6">
        <v>60.0</v>
      </c>
      <c r="U11" s="6">
        <v>865.0</v>
      </c>
      <c r="V11" s="7">
        <f t="shared" ref="V11:AE11" si="10">B11*L11</f>
        <v>2640</v>
      </c>
      <c r="W11" s="7">
        <f t="shared" si="10"/>
        <v>1260</v>
      </c>
      <c r="X11" s="7">
        <f t="shared" si="10"/>
        <v>624</v>
      </c>
      <c r="Y11" s="7">
        <f t="shared" si="10"/>
        <v>440</v>
      </c>
      <c r="Z11" s="7">
        <f t="shared" si="10"/>
        <v>448</v>
      </c>
      <c r="AA11" s="7">
        <f t="shared" si="10"/>
        <v>258</v>
      </c>
      <c r="AB11" s="7">
        <f t="shared" si="10"/>
        <v>972</v>
      </c>
      <c r="AC11" s="7">
        <f t="shared" si="10"/>
        <v>1740</v>
      </c>
      <c r="AD11" s="7">
        <f t="shared" si="10"/>
        <v>4800</v>
      </c>
      <c r="AE11" s="7">
        <f t="shared" si="10"/>
        <v>3460</v>
      </c>
      <c r="AF11" s="8">
        <f t="shared" si="3"/>
        <v>16642</v>
      </c>
      <c r="AG11" s="4">
        <f>DATE(2023,4,9)</f>
        <v>45025</v>
      </c>
    </row>
    <row r="12" ht="15.75" customHeight="1">
      <c r="A12" s="4">
        <f>DATE(2023,4,10)</f>
        <v>45026</v>
      </c>
      <c r="B12" s="5">
        <v>56.0</v>
      </c>
      <c r="C12" s="5">
        <v>32.0</v>
      </c>
      <c r="D12" s="5">
        <v>8.0</v>
      </c>
      <c r="E12" s="5">
        <v>6.0</v>
      </c>
      <c r="F12" s="5">
        <v>4.0</v>
      </c>
      <c r="G12" s="5">
        <v>8.0</v>
      </c>
      <c r="H12" s="5">
        <v>8.0</v>
      </c>
      <c r="I12" s="5">
        <v>0.0</v>
      </c>
      <c r="J12" s="5">
        <v>55.0</v>
      </c>
      <c r="K12" s="5">
        <v>0.0</v>
      </c>
      <c r="L12" s="6">
        <v>44.0</v>
      </c>
      <c r="M12" s="6">
        <v>42.0</v>
      </c>
      <c r="N12" s="6">
        <v>104.0</v>
      </c>
      <c r="O12" s="6">
        <v>110.0</v>
      </c>
      <c r="P12" s="6">
        <v>112.0</v>
      </c>
      <c r="Q12" s="6">
        <v>43.0</v>
      </c>
      <c r="R12" s="6">
        <v>162.0</v>
      </c>
      <c r="S12" s="6">
        <v>435.0</v>
      </c>
      <c r="T12" s="6">
        <v>60.0</v>
      </c>
      <c r="U12" s="6">
        <v>865.0</v>
      </c>
      <c r="V12" s="7">
        <f t="shared" ref="V12:AE12" si="11">B12*L12</f>
        <v>2464</v>
      </c>
      <c r="W12" s="7">
        <f t="shared" si="11"/>
        <v>1344</v>
      </c>
      <c r="X12" s="7">
        <f t="shared" si="11"/>
        <v>832</v>
      </c>
      <c r="Y12" s="7">
        <f t="shared" si="11"/>
        <v>660</v>
      </c>
      <c r="Z12" s="7">
        <f t="shared" si="11"/>
        <v>448</v>
      </c>
      <c r="AA12" s="7">
        <f t="shared" si="11"/>
        <v>344</v>
      </c>
      <c r="AB12" s="7">
        <f t="shared" si="11"/>
        <v>1296</v>
      </c>
      <c r="AC12" s="7">
        <f t="shared" si="11"/>
        <v>0</v>
      </c>
      <c r="AD12" s="7">
        <f t="shared" si="11"/>
        <v>3300</v>
      </c>
      <c r="AE12" s="7">
        <f t="shared" si="11"/>
        <v>0</v>
      </c>
      <c r="AF12" s="8">
        <f t="shared" si="3"/>
        <v>10688</v>
      </c>
      <c r="AG12" s="4">
        <f>DATE(2023,4,10)</f>
        <v>45026</v>
      </c>
    </row>
    <row r="13" ht="15.75" customHeight="1">
      <c r="A13" s="4">
        <f>DATE(2023,4,11)</f>
        <v>45027</v>
      </c>
      <c r="B13" s="5">
        <v>48.0</v>
      </c>
      <c r="C13" s="5">
        <v>24.0</v>
      </c>
      <c r="D13" s="5">
        <v>6.0</v>
      </c>
      <c r="E13" s="5">
        <v>8.0</v>
      </c>
      <c r="F13" s="5">
        <v>6.0</v>
      </c>
      <c r="G13" s="5">
        <v>8.0</v>
      </c>
      <c r="H13" s="5">
        <v>6.0</v>
      </c>
      <c r="I13" s="5">
        <v>2.0</v>
      </c>
      <c r="J13" s="5">
        <v>56.0</v>
      </c>
      <c r="K13" s="5">
        <v>0.0</v>
      </c>
      <c r="L13" s="6">
        <v>42.0</v>
      </c>
      <c r="M13" s="6">
        <v>42.0</v>
      </c>
      <c r="N13" s="6">
        <v>104.0</v>
      </c>
      <c r="O13" s="6">
        <v>110.0</v>
      </c>
      <c r="P13" s="6">
        <v>108.0</v>
      </c>
      <c r="Q13" s="6">
        <v>43.0</v>
      </c>
      <c r="R13" s="6">
        <v>158.0</v>
      </c>
      <c r="S13" s="6">
        <v>435.0</v>
      </c>
      <c r="T13" s="6">
        <v>60.0</v>
      </c>
      <c r="U13" s="6">
        <v>865.0</v>
      </c>
      <c r="V13" s="7">
        <f t="shared" ref="V13:AE13" si="12">B13*L13</f>
        <v>2016</v>
      </c>
      <c r="W13" s="7">
        <f t="shared" si="12"/>
        <v>1008</v>
      </c>
      <c r="X13" s="7">
        <f t="shared" si="12"/>
        <v>624</v>
      </c>
      <c r="Y13" s="7">
        <f t="shared" si="12"/>
        <v>880</v>
      </c>
      <c r="Z13" s="7">
        <f t="shared" si="12"/>
        <v>648</v>
      </c>
      <c r="AA13" s="7">
        <f t="shared" si="12"/>
        <v>344</v>
      </c>
      <c r="AB13" s="7">
        <f t="shared" si="12"/>
        <v>948</v>
      </c>
      <c r="AC13" s="7">
        <f t="shared" si="12"/>
        <v>870</v>
      </c>
      <c r="AD13" s="7">
        <f t="shared" si="12"/>
        <v>3360</v>
      </c>
      <c r="AE13" s="7">
        <f t="shared" si="12"/>
        <v>0</v>
      </c>
      <c r="AF13" s="8">
        <f t="shared" si="3"/>
        <v>10698</v>
      </c>
      <c r="AG13" s="4">
        <f>DATE(2023,4,11)</f>
        <v>45027</v>
      </c>
    </row>
    <row r="14" ht="15.75" customHeight="1">
      <c r="A14" s="4">
        <f>DATE(2023,4,12)</f>
        <v>45028</v>
      </c>
      <c r="B14" s="5">
        <v>48.0</v>
      </c>
      <c r="C14" s="5">
        <v>28.0</v>
      </c>
      <c r="D14" s="5">
        <v>8.0</v>
      </c>
      <c r="E14" s="5">
        <v>8.0</v>
      </c>
      <c r="F14" s="5">
        <v>8.0</v>
      </c>
      <c r="G14" s="5">
        <v>6.0</v>
      </c>
      <c r="H14" s="5">
        <v>6.0</v>
      </c>
      <c r="I14" s="5">
        <v>2.0</v>
      </c>
      <c r="J14" s="5">
        <v>58.0</v>
      </c>
      <c r="K14" s="5">
        <v>0.0</v>
      </c>
      <c r="L14" s="6">
        <v>42.0</v>
      </c>
      <c r="M14" s="6">
        <v>42.0</v>
      </c>
      <c r="N14" s="6">
        <v>104.0</v>
      </c>
      <c r="O14" s="6">
        <v>110.0</v>
      </c>
      <c r="P14" s="6">
        <v>108.0</v>
      </c>
      <c r="Q14" s="6">
        <v>43.0</v>
      </c>
      <c r="R14" s="6">
        <v>158.0</v>
      </c>
      <c r="S14" s="6">
        <v>435.0</v>
      </c>
      <c r="T14" s="6">
        <v>60.0</v>
      </c>
      <c r="U14" s="6">
        <v>865.0</v>
      </c>
      <c r="V14" s="7">
        <f t="shared" ref="V14:AE14" si="13">B14*L14</f>
        <v>2016</v>
      </c>
      <c r="W14" s="7">
        <f t="shared" si="13"/>
        <v>1176</v>
      </c>
      <c r="X14" s="7">
        <f t="shared" si="13"/>
        <v>832</v>
      </c>
      <c r="Y14" s="7">
        <f t="shared" si="13"/>
        <v>880</v>
      </c>
      <c r="Z14" s="7">
        <f t="shared" si="13"/>
        <v>864</v>
      </c>
      <c r="AA14" s="7">
        <f t="shared" si="13"/>
        <v>258</v>
      </c>
      <c r="AB14" s="7">
        <f t="shared" si="13"/>
        <v>948</v>
      </c>
      <c r="AC14" s="7">
        <f t="shared" si="13"/>
        <v>870</v>
      </c>
      <c r="AD14" s="7">
        <f t="shared" si="13"/>
        <v>3480</v>
      </c>
      <c r="AE14" s="7">
        <f t="shared" si="13"/>
        <v>0</v>
      </c>
      <c r="AF14" s="8">
        <f t="shared" si="3"/>
        <v>11324</v>
      </c>
      <c r="AG14" s="4">
        <f>DATE(2023,4,12)</f>
        <v>45028</v>
      </c>
    </row>
    <row r="15" ht="15.75" customHeight="1">
      <c r="A15" s="4">
        <f>DATE(2023,4,13)</f>
        <v>45029</v>
      </c>
      <c r="B15" s="5">
        <v>50.0</v>
      </c>
      <c r="C15" s="5">
        <v>28.0</v>
      </c>
      <c r="D15" s="5">
        <v>6.0</v>
      </c>
      <c r="E15" s="5">
        <v>8.0</v>
      </c>
      <c r="F15" s="5">
        <v>6.0</v>
      </c>
      <c r="G15" s="5">
        <v>10.0</v>
      </c>
      <c r="H15" s="5">
        <v>4.0</v>
      </c>
      <c r="I15" s="5">
        <v>0.0</v>
      </c>
      <c r="J15" s="5">
        <v>60.0</v>
      </c>
      <c r="K15" s="5">
        <v>0.0</v>
      </c>
      <c r="L15" s="6">
        <v>42.0</v>
      </c>
      <c r="M15" s="6">
        <v>42.0</v>
      </c>
      <c r="N15" s="6">
        <v>104.0</v>
      </c>
      <c r="O15" s="6">
        <v>110.0</v>
      </c>
      <c r="P15" s="6">
        <v>108.0</v>
      </c>
      <c r="Q15" s="6">
        <v>43.0</v>
      </c>
      <c r="R15" s="6">
        <v>158.0</v>
      </c>
      <c r="S15" s="6">
        <v>435.0</v>
      </c>
      <c r="T15" s="6">
        <v>60.0</v>
      </c>
      <c r="U15" s="6">
        <v>865.0</v>
      </c>
      <c r="V15" s="7">
        <f t="shared" ref="V15:AE15" si="14">B15*L15</f>
        <v>2100</v>
      </c>
      <c r="W15" s="7">
        <f t="shared" si="14"/>
        <v>1176</v>
      </c>
      <c r="X15" s="7">
        <f t="shared" si="14"/>
        <v>624</v>
      </c>
      <c r="Y15" s="7">
        <f t="shared" si="14"/>
        <v>880</v>
      </c>
      <c r="Z15" s="7">
        <f t="shared" si="14"/>
        <v>648</v>
      </c>
      <c r="AA15" s="7">
        <f t="shared" si="14"/>
        <v>430</v>
      </c>
      <c r="AB15" s="7">
        <f t="shared" si="14"/>
        <v>632</v>
      </c>
      <c r="AC15" s="7">
        <f t="shared" si="14"/>
        <v>0</v>
      </c>
      <c r="AD15" s="7">
        <f t="shared" si="14"/>
        <v>3600</v>
      </c>
      <c r="AE15" s="7">
        <f t="shared" si="14"/>
        <v>0</v>
      </c>
      <c r="AF15" s="8">
        <f t="shared" si="3"/>
        <v>10090</v>
      </c>
      <c r="AG15" s="4">
        <f>DATE(2023,4,13)</f>
        <v>45029</v>
      </c>
    </row>
    <row r="16" ht="15.75" customHeight="1">
      <c r="A16" s="4">
        <f>DATE(2023,4,14)</f>
        <v>45030</v>
      </c>
      <c r="B16" s="5">
        <v>106.0</v>
      </c>
      <c r="C16" s="5">
        <v>34.0</v>
      </c>
      <c r="D16" s="5">
        <v>12.0</v>
      </c>
      <c r="E16" s="5">
        <v>8.0</v>
      </c>
      <c r="F16" s="5">
        <v>10.0</v>
      </c>
      <c r="G16" s="5">
        <v>12.0</v>
      </c>
      <c r="H16" s="5">
        <v>8.0</v>
      </c>
      <c r="I16" s="5">
        <v>2.0</v>
      </c>
      <c r="J16" s="5">
        <v>65.0</v>
      </c>
      <c r="K16" s="5">
        <v>0.0</v>
      </c>
      <c r="L16" s="6">
        <v>44.0</v>
      </c>
      <c r="M16" s="6">
        <v>41.0</v>
      </c>
      <c r="N16" s="6">
        <v>108.0</v>
      </c>
      <c r="O16" s="6">
        <v>110.0</v>
      </c>
      <c r="P16" s="6">
        <v>111.0</v>
      </c>
      <c r="Q16" s="6">
        <v>43.0</v>
      </c>
      <c r="R16" s="6">
        <v>158.0</v>
      </c>
      <c r="S16" s="6">
        <v>435.0</v>
      </c>
      <c r="T16" s="6">
        <v>60.0</v>
      </c>
      <c r="U16" s="6">
        <v>865.0</v>
      </c>
      <c r="V16" s="7">
        <f t="shared" ref="V16:AE16" si="15">B16*L16</f>
        <v>4664</v>
      </c>
      <c r="W16" s="7">
        <f t="shared" si="15"/>
        <v>1394</v>
      </c>
      <c r="X16" s="7">
        <f t="shared" si="15"/>
        <v>1296</v>
      </c>
      <c r="Y16" s="7">
        <f t="shared" si="15"/>
        <v>880</v>
      </c>
      <c r="Z16" s="7">
        <f t="shared" si="15"/>
        <v>1110</v>
      </c>
      <c r="AA16" s="7">
        <f t="shared" si="15"/>
        <v>516</v>
      </c>
      <c r="AB16" s="7">
        <f t="shared" si="15"/>
        <v>1264</v>
      </c>
      <c r="AC16" s="7">
        <f t="shared" si="15"/>
        <v>870</v>
      </c>
      <c r="AD16" s="7">
        <f t="shared" si="15"/>
        <v>3900</v>
      </c>
      <c r="AE16" s="7">
        <f t="shared" si="15"/>
        <v>0</v>
      </c>
      <c r="AF16" s="8">
        <f t="shared" si="3"/>
        <v>15894</v>
      </c>
      <c r="AG16" s="4">
        <f>DATE(2023,4,14)</f>
        <v>45030</v>
      </c>
    </row>
    <row r="17" ht="15.75" customHeight="1">
      <c r="A17" s="4">
        <f>DATE(2023,4,15)</f>
        <v>45031</v>
      </c>
      <c r="B17" s="5">
        <v>42.0</v>
      </c>
      <c r="C17" s="5">
        <v>24.0</v>
      </c>
      <c r="D17" s="5">
        <v>6.0</v>
      </c>
      <c r="E17" s="5">
        <v>10.0</v>
      </c>
      <c r="F17" s="5">
        <v>8.0</v>
      </c>
      <c r="G17" s="5">
        <v>4.0</v>
      </c>
      <c r="H17" s="5">
        <v>4.0</v>
      </c>
      <c r="I17" s="5">
        <v>0.0</v>
      </c>
      <c r="J17" s="5">
        <v>57.0</v>
      </c>
      <c r="K17" s="5">
        <v>0.0</v>
      </c>
      <c r="L17" s="6">
        <v>44.0</v>
      </c>
      <c r="M17" s="6">
        <v>41.0</v>
      </c>
      <c r="N17" s="6">
        <v>108.0</v>
      </c>
      <c r="O17" s="6">
        <v>110.0</v>
      </c>
      <c r="P17" s="6">
        <v>111.0</v>
      </c>
      <c r="Q17" s="6">
        <v>43.0</v>
      </c>
      <c r="R17" s="6">
        <v>158.0</v>
      </c>
      <c r="S17" s="6">
        <v>435.0</v>
      </c>
      <c r="T17" s="6">
        <v>60.0</v>
      </c>
      <c r="U17" s="6">
        <v>865.0</v>
      </c>
      <c r="V17" s="7">
        <f t="shared" ref="V17:AE17" si="16">B17*L17</f>
        <v>1848</v>
      </c>
      <c r="W17" s="7">
        <f t="shared" si="16"/>
        <v>984</v>
      </c>
      <c r="X17" s="7">
        <f t="shared" si="16"/>
        <v>648</v>
      </c>
      <c r="Y17" s="7">
        <f t="shared" si="16"/>
        <v>1100</v>
      </c>
      <c r="Z17" s="7">
        <f t="shared" si="16"/>
        <v>888</v>
      </c>
      <c r="AA17" s="7">
        <f t="shared" si="16"/>
        <v>172</v>
      </c>
      <c r="AB17" s="7">
        <f t="shared" si="16"/>
        <v>632</v>
      </c>
      <c r="AC17" s="7">
        <f t="shared" si="16"/>
        <v>0</v>
      </c>
      <c r="AD17" s="7">
        <f t="shared" si="16"/>
        <v>3420</v>
      </c>
      <c r="AE17" s="7">
        <f t="shared" si="16"/>
        <v>0</v>
      </c>
      <c r="AF17" s="8">
        <f t="shared" si="3"/>
        <v>9692</v>
      </c>
      <c r="AG17" s="4">
        <f>DATE(2023,4,15)</f>
        <v>45031</v>
      </c>
    </row>
    <row r="18" ht="15.75" customHeight="1">
      <c r="A18" s="4">
        <f>DATE(2023,4,16)</f>
        <v>45032</v>
      </c>
      <c r="B18" s="5">
        <v>40.0</v>
      </c>
      <c r="C18" s="5">
        <v>26.0</v>
      </c>
      <c r="D18" s="5">
        <v>10.0</v>
      </c>
      <c r="E18" s="5">
        <v>10.0</v>
      </c>
      <c r="F18" s="5">
        <v>10.0</v>
      </c>
      <c r="G18" s="5">
        <v>4.0</v>
      </c>
      <c r="H18" s="5">
        <v>6.0</v>
      </c>
      <c r="I18" s="5">
        <v>0.0</v>
      </c>
      <c r="J18" s="5">
        <v>54.0</v>
      </c>
      <c r="K18" s="5">
        <v>1.0</v>
      </c>
      <c r="L18" s="6">
        <v>44.0</v>
      </c>
      <c r="M18" s="6">
        <v>41.0</v>
      </c>
      <c r="N18" s="6">
        <v>108.0</v>
      </c>
      <c r="O18" s="6">
        <v>110.0</v>
      </c>
      <c r="P18" s="6">
        <v>111.0</v>
      </c>
      <c r="Q18" s="6">
        <v>43.0</v>
      </c>
      <c r="R18" s="6">
        <v>158.0</v>
      </c>
      <c r="S18" s="6">
        <v>435.0</v>
      </c>
      <c r="T18" s="6">
        <v>60.0</v>
      </c>
      <c r="U18" s="6">
        <v>865.0</v>
      </c>
      <c r="V18" s="7">
        <f t="shared" ref="V18:AE18" si="17">B18*L18</f>
        <v>1760</v>
      </c>
      <c r="W18" s="7">
        <f t="shared" si="17"/>
        <v>1066</v>
      </c>
      <c r="X18" s="7">
        <f t="shared" si="17"/>
        <v>1080</v>
      </c>
      <c r="Y18" s="7">
        <f t="shared" si="17"/>
        <v>1100</v>
      </c>
      <c r="Z18" s="7">
        <f t="shared" si="17"/>
        <v>1110</v>
      </c>
      <c r="AA18" s="7">
        <f t="shared" si="17"/>
        <v>172</v>
      </c>
      <c r="AB18" s="7">
        <f t="shared" si="17"/>
        <v>948</v>
      </c>
      <c r="AC18" s="7">
        <f t="shared" si="17"/>
        <v>0</v>
      </c>
      <c r="AD18" s="7">
        <f t="shared" si="17"/>
        <v>3240</v>
      </c>
      <c r="AE18" s="7">
        <f t="shared" si="17"/>
        <v>865</v>
      </c>
      <c r="AF18" s="8">
        <f t="shared" si="3"/>
        <v>11341</v>
      </c>
      <c r="AG18" s="4">
        <f>DATE(2023,4,16)</f>
        <v>45032</v>
      </c>
    </row>
    <row r="19" ht="15.75" customHeight="1">
      <c r="A19" s="4">
        <f>DATE(2023,4,17)</f>
        <v>45033</v>
      </c>
      <c r="B19" s="5">
        <v>52.0</v>
      </c>
      <c r="C19" s="5">
        <v>20.0</v>
      </c>
      <c r="D19" s="5">
        <v>4.0</v>
      </c>
      <c r="E19" s="5">
        <v>2.0</v>
      </c>
      <c r="F19" s="5">
        <v>6.0</v>
      </c>
      <c r="G19" s="5">
        <v>4.0</v>
      </c>
      <c r="H19" s="5">
        <v>2.0</v>
      </c>
      <c r="I19" s="5">
        <v>0.0</v>
      </c>
      <c r="J19" s="5">
        <v>53.0</v>
      </c>
      <c r="K19" s="5">
        <v>0.0</v>
      </c>
      <c r="L19" s="6">
        <v>45.0</v>
      </c>
      <c r="M19" s="6">
        <v>41.0</v>
      </c>
      <c r="N19" s="6">
        <v>108.0</v>
      </c>
      <c r="O19" s="6">
        <v>110.0</v>
      </c>
      <c r="P19" s="6">
        <v>111.0</v>
      </c>
      <c r="Q19" s="6">
        <v>43.0</v>
      </c>
      <c r="R19" s="6">
        <v>158.0</v>
      </c>
      <c r="S19" s="6">
        <v>435.0</v>
      </c>
      <c r="T19" s="6">
        <v>59.0</v>
      </c>
      <c r="U19" s="6">
        <v>865.0</v>
      </c>
      <c r="V19" s="7">
        <f t="shared" ref="V19:AE19" si="18">B19*L19</f>
        <v>2340</v>
      </c>
      <c r="W19" s="7">
        <f t="shared" si="18"/>
        <v>820</v>
      </c>
      <c r="X19" s="7">
        <f t="shared" si="18"/>
        <v>432</v>
      </c>
      <c r="Y19" s="7">
        <f t="shared" si="18"/>
        <v>220</v>
      </c>
      <c r="Z19" s="7">
        <f t="shared" si="18"/>
        <v>666</v>
      </c>
      <c r="AA19" s="7">
        <f t="shared" si="18"/>
        <v>172</v>
      </c>
      <c r="AB19" s="7">
        <f t="shared" si="18"/>
        <v>316</v>
      </c>
      <c r="AC19" s="7">
        <f t="shared" si="18"/>
        <v>0</v>
      </c>
      <c r="AD19" s="7">
        <f t="shared" si="18"/>
        <v>3127</v>
      </c>
      <c r="AE19" s="7">
        <f t="shared" si="18"/>
        <v>0</v>
      </c>
      <c r="AF19" s="8">
        <f t="shared" si="3"/>
        <v>8093</v>
      </c>
      <c r="AG19" s="4">
        <f>DATE(2023,4,17)</f>
        <v>45033</v>
      </c>
    </row>
    <row r="20" ht="15.75" customHeight="1">
      <c r="A20" s="4">
        <f>DATE(2023,4,18)</f>
        <v>45034</v>
      </c>
      <c r="B20" s="5">
        <v>40.0</v>
      </c>
      <c r="C20" s="5">
        <v>30.0</v>
      </c>
      <c r="D20" s="5">
        <v>4.0</v>
      </c>
      <c r="E20" s="5">
        <v>2.0</v>
      </c>
      <c r="F20" s="5">
        <v>2.0</v>
      </c>
      <c r="G20" s="5">
        <v>2.0</v>
      </c>
      <c r="H20" s="5">
        <v>0.0</v>
      </c>
      <c r="I20" s="5">
        <v>2.0</v>
      </c>
      <c r="J20" s="5">
        <v>55.0</v>
      </c>
      <c r="K20" s="5">
        <v>0.0</v>
      </c>
      <c r="L20" s="6">
        <v>45.0</v>
      </c>
      <c r="M20" s="6">
        <v>41.0</v>
      </c>
      <c r="N20" s="6">
        <v>108.0</v>
      </c>
      <c r="O20" s="6">
        <v>110.0</v>
      </c>
      <c r="P20" s="6">
        <v>111.0</v>
      </c>
      <c r="Q20" s="6">
        <v>44.0</v>
      </c>
      <c r="R20" s="6">
        <v>158.0</v>
      </c>
      <c r="S20" s="6">
        <v>435.0</v>
      </c>
      <c r="T20" s="6">
        <v>59.0</v>
      </c>
      <c r="U20" s="6">
        <v>865.0</v>
      </c>
      <c r="V20" s="7">
        <f t="shared" ref="V20:AE20" si="19">B20*L20</f>
        <v>1800</v>
      </c>
      <c r="W20" s="7">
        <f t="shared" si="19"/>
        <v>1230</v>
      </c>
      <c r="X20" s="7">
        <f t="shared" si="19"/>
        <v>432</v>
      </c>
      <c r="Y20" s="7">
        <f t="shared" si="19"/>
        <v>220</v>
      </c>
      <c r="Z20" s="7">
        <f t="shared" si="19"/>
        <v>222</v>
      </c>
      <c r="AA20" s="7">
        <f t="shared" si="19"/>
        <v>88</v>
      </c>
      <c r="AB20" s="7">
        <f t="shared" si="19"/>
        <v>0</v>
      </c>
      <c r="AC20" s="7">
        <f t="shared" si="19"/>
        <v>870</v>
      </c>
      <c r="AD20" s="7">
        <f t="shared" si="19"/>
        <v>3245</v>
      </c>
      <c r="AE20" s="7">
        <f t="shared" si="19"/>
        <v>0</v>
      </c>
      <c r="AF20" s="8">
        <f t="shared" si="3"/>
        <v>8107</v>
      </c>
      <c r="AG20" s="4">
        <f>DATE(2023,4,18)</f>
        <v>45034</v>
      </c>
    </row>
    <row r="21" ht="15.75" customHeight="1">
      <c r="A21" s="4">
        <f>DATE(2023,4,19)</f>
        <v>45035</v>
      </c>
      <c r="B21" s="5">
        <v>36.0</v>
      </c>
      <c r="C21" s="5">
        <v>20.0</v>
      </c>
      <c r="D21" s="5">
        <v>6.0</v>
      </c>
      <c r="E21" s="5">
        <v>2.0</v>
      </c>
      <c r="F21" s="5">
        <v>6.0</v>
      </c>
      <c r="G21" s="5">
        <v>4.0</v>
      </c>
      <c r="H21" s="5">
        <v>4.0</v>
      </c>
      <c r="I21" s="5">
        <v>2.0</v>
      </c>
      <c r="J21" s="5">
        <v>54.0</v>
      </c>
      <c r="K21" s="5">
        <v>0.0</v>
      </c>
      <c r="L21" s="6">
        <v>43.0</v>
      </c>
      <c r="M21" s="6">
        <v>41.0</v>
      </c>
      <c r="N21" s="6">
        <v>108.0</v>
      </c>
      <c r="O21" s="6">
        <v>110.0</v>
      </c>
      <c r="P21" s="6">
        <v>111.0</v>
      </c>
      <c r="Q21" s="6">
        <v>47.0</v>
      </c>
      <c r="R21" s="6">
        <v>158.0</v>
      </c>
      <c r="S21" s="6">
        <v>435.0</v>
      </c>
      <c r="T21" s="6">
        <v>59.0</v>
      </c>
      <c r="U21" s="6">
        <v>890.0</v>
      </c>
      <c r="V21" s="7">
        <f t="shared" ref="V21:AE21" si="20">B21*L21</f>
        <v>1548</v>
      </c>
      <c r="W21" s="7">
        <f t="shared" si="20"/>
        <v>820</v>
      </c>
      <c r="X21" s="7">
        <f t="shared" si="20"/>
        <v>648</v>
      </c>
      <c r="Y21" s="7">
        <f t="shared" si="20"/>
        <v>220</v>
      </c>
      <c r="Z21" s="7">
        <f t="shared" si="20"/>
        <v>666</v>
      </c>
      <c r="AA21" s="7">
        <f t="shared" si="20"/>
        <v>188</v>
      </c>
      <c r="AB21" s="7">
        <f t="shared" si="20"/>
        <v>632</v>
      </c>
      <c r="AC21" s="7">
        <f t="shared" si="20"/>
        <v>870</v>
      </c>
      <c r="AD21" s="7">
        <f t="shared" si="20"/>
        <v>3186</v>
      </c>
      <c r="AE21" s="7">
        <f t="shared" si="20"/>
        <v>0</v>
      </c>
      <c r="AF21" s="8">
        <f t="shared" si="3"/>
        <v>8778</v>
      </c>
      <c r="AG21" s="4">
        <f>DATE(2023,4,19)</f>
        <v>45035</v>
      </c>
    </row>
    <row r="22" ht="15.75" customHeight="1">
      <c r="A22" s="4">
        <f>DATE(2023,4,20)</f>
        <v>45036</v>
      </c>
      <c r="B22" s="5">
        <v>38.0</v>
      </c>
      <c r="C22" s="5">
        <v>18.0</v>
      </c>
      <c r="D22" s="5">
        <v>4.0</v>
      </c>
      <c r="E22" s="5">
        <v>6.0</v>
      </c>
      <c r="F22" s="5">
        <v>8.0</v>
      </c>
      <c r="G22" s="5">
        <v>6.0</v>
      </c>
      <c r="H22" s="5">
        <v>4.0</v>
      </c>
      <c r="I22" s="5">
        <v>2.0</v>
      </c>
      <c r="J22" s="5">
        <v>55.0</v>
      </c>
      <c r="K22" s="5">
        <v>2.0</v>
      </c>
      <c r="L22" s="6">
        <v>45.0</v>
      </c>
      <c r="M22" s="6">
        <v>41.0</v>
      </c>
      <c r="N22" s="6">
        <v>104.0</v>
      </c>
      <c r="O22" s="6">
        <v>113.0</v>
      </c>
      <c r="P22" s="6">
        <v>122.0</v>
      </c>
      <c r="Q22" s="6">
        <v>45.0</v>
      </c>
      <c r="R22" s="6">
        <v>158.0</v>
      </c>
      <c r="S22" s="6">
        <v>435.0</v>
      </c>
      <c r="T22" s="6">
        <v>59.0</v>
      </c>
      <c r="U22" s="6">
        <v>890.0</v>
      </c>
      <c r="V22" s="7">
        <f t="shared" ref="V22:AE22" si="21">B22*L22</f>
        <v>1710</v>
      </c>
      <c r="W22" s="7">
        <f t="shared" si="21"/>
        <v>738</v>
      </c>
      <c r="X22" s="7">
        <f t="shared" si="21"/>
        <v>416</v>
      </c>
      <c r="Y22" s="7">
        <f t="shared" si="21"/>
        <v>678</v>
      </c>
      <c r="Z22" s="7">
        <f t="shared" si="21"/>
        <v>976</v>
      </c>
      <c r="AA22" s="7">
        <f t="shared" si="21"/>
        <v>270</v>
      </c>
      <c r="AB22" s="7">
        <f t="shared" si="21"/>
        <v>632</v>
      </c>
      <c r="AC22" s="7">
        <f t="shared" si="21"/>
        <v>870</v>
      </c>
      <c r="AD22" s="7">
        <f t="shared" si="21"/>
        <v>3245</v>
      </c>
      <c r="AE22" s="7">
        <f t="shared" si="21"/>
        <v>1780</v>
      </c>
      <c r="AF22" s="8">
        <f t="shared" si="3"/>
        <v>11315</v>
      </c>
      <c r="AG22" s="4">
        <f>DATE(2023,4,20)</f>
        <v>45036</v>
      </c>
    </row>
    <row r="23" ht="15.75" customHeight="1">
      <c r="A23" s="4">
        <f>DATE(2023,4,21)</f>
        <v>45037</v>
      </c>
      <c r="B23" s="5">
        <v>48.0</v>
      </c>
      <c r="C23" s="5">
        <v>30.0</v>
      </c>
      <c r="D23" s="5">
        <v>8.0</v>
      </c>
      <c r="E23" s="5">
        <v>2.0</v>
      </c>
      <c r="F23" s="5">
        <v>2.0</v>
      </c>
      <c r="G23" s="5">
        <v>8.0</v>
      </c>
      <c r="H23" s="5">
        <v>6.0</v>
      </c>
      <c r="I23" s="5">
        <v>4.0</v>
      </c>
      <c r="J23" s="5">
        <v>50.0</v>
      </c>
      <c r="K23" s="5">
        <v>2.0</v>
      </c>
      <c r="L23" s="6">
        <v>45.0</v>
      </c>
      <c r="M23" s="6">
        <v>41.0</v>
      </c>
      <c r="N23" s="6">
        <v>104.0</v>
      </c>
      <c r="O23" s="6">
        <v>113.0</v>
      </c>
      <c r="P23" s="6">
        <v>122.0</v>
      </c>
      <c r="Q23" s="6">
        <v>45.0</v>
      </c>
      <c r="R23" s="6">
        <v>142.0</v>
      </c>
      <c r="S23" s="6">
        <v>440.0</v>
      </c>
      <c r="T23" s="6">
        <v>60.0</v>
      </c>
      <c r="U23" s="6">
        <v>895.0</v>
      </c>
      <c r="V23" s="7">
        <f t="shared" ref="V23:AE23" si="22">B23*L23</f>
        <v>2160</v>
      </c>
      <c r="W23" s="7">
        <f t="shared" si="22"/>
        <v>1230</v>
      </c>
      <c r="X23" s="7">
        <f t="shared" si="22"/>
        <v>832</v>
      </c>
      <c r="Y23" s="7">
        <f t="shared" si="22"/>
        <v>226</v>
      </c>
      <c r="Z23" s="7">
        <f t="shared" si="22"/>
        <v>244</v>
      </c>
      <c r="AA23" s="7">
        <f t="shared" si="22"/>
        <v>360</v>
      </c>
      <c r="AB23" s="7">
        <f t="shared" si="22"/>
        <v>852</v>
      </c>
      <c r="AC23" s="7">
        <f t="shared" si="22"/>
        <v>1760</v>
      </c>
      <c r="AD23" s="7">
        <f t="shared" si="22"/>
        <v>3000</v>
      </c>
      <c r="AE23" s="7">
        <f t="shared" si="22"/>
        <v>1790</v>
      </c>
      <c r="AF23" s="8">
        <f t="shared" si="3"/>
        <v>12454</v>
      </c>
      <c r="AG23" s="4">
        <f>DATE(2023,4,21)</f>
        <v>45037</v>
      </c>
    </row>
    <row r="24" ht="15.75" customHeight="1">
      <c r="A24" s="4">
        <f>DATE(2023,4,22)</f>
        <v>45038</v>
      </c>
      <c r="B24" s="5">
        <v>260.0</v>
      </c>
      <c r="C24" s="5">
        <v>90.0</v>
      </c>
      <c r="D24" s="5">
        <v>36.0</v>
      </c>
      <c r="E24" s="5">
        <v>26.0</v>
      </c>
      <c r="F24" s="5">
        <v>28.0</v>
      </c>
      <c r="G24" s="5">
        <v>94.0</v>
      </c>
      <c r="H24" s="5">
        <v>68.0</v>
      </c>
      <c r="I24" s="5">
        <v>18.0</v>
      </c>
      <c r="J24" s="5">
        <v>90.0</v>
      </c>
      <c r="K24" s="5">
        <v>6.0</v>
      </c>
      <c r="L24" s="6">
        <v>45.0</v>
      </c>
      <c r="M24" s="6">
        <v>41.0</v>
      </c>
      <c r="N24" s="6">
        <v>104.0</v>
      </c>
      <c r="O24" s="6">
        <v>113.0</v>
      </c>
      <c r="P24" s="6">
        <v>122.0</v>
      </c>
      <c r="Q24" s="6">
        <v>45.0</v>
      </c>
      <c r="R24" s="6">
        <v>142.0</v>
      </c>
      <c r="S24" s="6">
        <v>440.0</v>
      </c>
      <c r="T24" s="6">
        <v>60.0</v>
      </c>
      <c r="U24" s="6">
        <v>895.0</v>
      </c>
      <c r="V24" s="7">
        <f t="shared" ref="V24:AE24" si="23">B24*L24</f>
        <v>11700</v>
      </c>
      <c r="W24" s="7">
        <f t="shared" si="23"/>
        <v>3690</v>
      </c>
      <c r="X24" s="7">
        <f t="shared" si="23"/>
        <v>3744</v>
      </c>
      <c r="Y24" s="7">
        <f t="shared" si="23"/>
        <v>2938</v>
      </c>
      <c r="Z24" s="7">
        <f t="shared" si="23"/>
        <v>3416</v>
      </c>
      <c r="AA24" s="7">
        <f t="shared" si="23"/>
        <v>4230</v>
      </c>
      <c r="AB24" s="7">
        <f t="shared" si="23"/>
        <v>9656</v>
      </c>
      <c r="AC24" s="7">
        <f t="shared" si="23"/>
        <v>7920</v>
      </c>
      <c r="AD24" s="7">
        <f t="shared" si="23"/>
        <v>5400</v>
      </c>
      <c r="AE24" s="7">
        <f t="shared" si="23"/>
        <v>5370</v>
      </c>
      <c r="AF24" s="8">
        <f t="shared" si="3"/>
        <v>58064</v>
      </c>
      <c r="AG24" s="4">
        <f>DATE(2023,4,22)</f>
        <v>45038</v>
      </c>
    </row>
    <row r="25" ht="15.75" customHeight="1">
      <c r="A25" s="4">
        <f>DATE(2023,4,23)</f>
        <v>45039</v>
      </c>
      <c r="B25" s="5">
        <v>290.0</v>
      </c>
      <c r="C25" s="5">
        <v>116.0</v>
      </c>
      <c r="D25" s="5">
        <v>30.0</v>
      </c>
      <c r="E25" s="5">
        <v>20.0</v>
      </c>
      <c r="F25" s="5">
        <v>36.0</v>
      </c>
      <c r="G25" s="5">
        <v>100.0</v>
      </c>
      <c r="H25" s="5">
        <v>60.0</v>
      </c>
      <c r="I25" s="5">
        <v>20.0</v>
      </c>
      <c r="J25" s="5">
        <v>90.0</v>
      </c>
      <c r="K25" s="5">
        <v>10.0</v>
      </c>
      <c r="L25" s="6">
        <v>45.0</v>
      </c>
      <c r="M25" s="6">
        <v>41.0</v>
      </c>
      <c r="N25" s="6">
        <v>104.0</v>
      </c>
      <c r="O25" s="6">
        <v>113.0</v>
      </c>
      <c r="P25" s="6">
        <v>122.0</v>
      </c>
      <c r="Q25" s="6">
        <v>45.0</v>
      </c>
      <c r="R25" s="6">
        <v>130.0</v>
      </c>
      <c r="S25" s="6">
        <v>440.0</v>
      </c>
      <c r="T25" s="6">
        <v>60.0</v>
      </c>
      <c r="U25" s="6">
        <v>895.0</v>
      </c>
      <c r="V25" s="7">
        <f t="shared" ref="V25:AE25" si="24">B25*L25</f>
        <v>13050</v>
      </c>
      <c r="W25" s="7">
        <f t="shared" si="24"/>
        <v>4756</v>
      </c>
      <c r="X25" s="7">
        <f t="shared" si="24"/>
        <v>3120</v>
      </c>
      <c r="Y25" s="7">
        <f t="shared" si="24"/>
        <v>2260</v>
      </c>
      <c r="Z25" s="7">
        <f t="shared" si="24"/>
        <v>4392</v>
      </c>
      <c r="AA25" s="7">
        <f t="shared" si="24"/>
        <v>4500</v>
      </c>
      <c r="AB25" s="7">
        <f t="shared" si="24"/>
        <v>7800</v>
      </c>
      <c r="AC25" s="7">
        <f t="shared" si="24"/>
        <v>8800</v>
      </c>
      <c r="AD25" s="7">
        <f t="shared" si="24"/>
        <v>5400</v>
      </c>
      <c r="AE25" s="7">
        <f t="shared" si="24"/>
        <v>8950</v>
      </c>
      <c r="AF25" s="8">
        <f t="shared" si="3"/>
        <v>63028</v>
      </c>
      <c r="AG25" s="4">
        <f>DATE(2023,4,23)</f>
        <v>45039</v>
      </c>
    </row>
    <row r="26" ht="15.75" customHeight="1">
      <c r="A26" s="4">
        <f>DATE(2023,4,24)</f>
        <v>45040</v>
      </c>
      <c r="B26" s="5">
        <v>230.0</v>
      </c>
      <c r="C26" s="5">
        <v>96.0</v>
      </c>
      <c r="D26" s="5">
        <v>30.0</v>
      </c>
      <c r="E26" s="5">
        <v>18.0</v>
      </c>
      <c r="F26" s="5">
        <v>24.0</v>
      </c>
      <c r="G26" s="5">
        <v>54.0</v>
      </c>
      <c r="H26" s="5">
        <v>36.0</v>
      </c>
      <c r="I26" s="5">
        <v>22.0</v>
      </c>
      <c r="J26" s="5">
        <v>95.0</v>
      </c>
      <c r="K26" s="5">
        <v>11.0</v>
      </c>
      <c r="L26" s="6">
        <v>45.0</v>
      </c>
      <c r="M26" s="6">
        <v>41.0</v>
      </c>
      <c r="N26" s="6">
        <v>104.0</v>
      </c>
      <c r="O26" s="6">
        <v>113.0</v>
      </c>
      <c r="P26" s="6">
        <v>122.0</v>
      </c>
      <c r="Q26" s="6">
        <v>45.0</v>
      </c>
      <c r="R26" s="6">
        <v>130.0</v>
      </c>
      <c r="S26" s="6">
        <v>440.0</v>
      </c>
      <c r="T26" s="6">
        <v>60.0</v>
      </c>
      <c r="U26" s="6">
        <v>895.0</v>
      </c>
      <c r="V26" s="7">
        <f t="shared" ref="V26:AE26" si="25">B26*L26</f>
        <v>10350</v>
      </c>
      <c r="W26" s="7">
        <f t="shared" si="25"/>
        <v>3936</v>
      </c>
      <c r="X26" s="7">
        <f t="shared" si="25"/>
        <v>3120</v>
      </c>
      <c r="Y26" s="7">
        <f t="shared" si="25"/>
        <v>2034</v>
      </c>
      <c r="Z26" s="7">
        <f t="shared" si="25"/>
        <v>2928</v>
      </c>
      <c r="AA26" s="7">
        <f t="shared" si="25"/>
        <v>2430</v>
      </c>
      <c r="AB26" s="7">
        <f t="shared" si="25"/>
        <v>4680</v>
      </c>
      <c r="AC26" s="7">
        <f t="shared" si="25"/>
        <v>9680</v>
      </c>
      <c r="AD26" s="7">
        <f t="shared" si="25"/>
        <v>5700</v>
      </c>
      <c r="AE26" s="7">
        <f t="shared" si="25"/>
        <v>9845</v>
      </c>
      <c r="AF26" s="8">
        <f t="shared" si="3"/>
        <v>54703</v>
      </c>
      <c r="AG26" s="4">
        <f>DATE(2023,4,24)</f>
        <v>45040</v>
      </c>
    </row>
    <row r="27" ht="15.75" customHeight="1">
      <c r="A27" s="4">
        <f>DATE(2023,4,25)</f>
        <v>45041</v>
      </c>
      <c r="B27" s="5">
        <v>160.0</v>
      </c>
      <c r="C27" s="5">
        <v>60.0</v>
      </c>
      <c r="D27" s="5">
        <v>22.0</v>
      </c>
      <c r="E27" s="5">
        <v>10.0</v>
      </c>
      <c r="F27" s="5">
        <v>16.0</v>
      </c>
      <c r="G27" s="5">
        <v>40.0</v>
      </c>
      <c r="H27" s="5">
        <v>22.0</v>
      </c>
      <c r="I27" s="5">
        <v>20.0</v>
      </c>
      <c r="J27" s="5">
        <v>100.0</v>
      </c>
      <c r="K27" s="5">
        <v>12.0</v>
      </c>
      <c r="L27" s="6">
        <v>45.0</v>
      </c>
      <c r="M27" s="6">
        <v>41.0</v>
      </c>
      <c r="N27" s="6">
        <v>104.0</v>
      </c>
      <c r="O27" s="6">
        <v>113.0</v>
      </c>
      <c r="P27" s="6">
        <v>122.0</v>
      </c>
      <c r="Q27" s="6">
        <v>45.0</v>
      </c>
      <c r="R27" s="6">
        <v>130.0</v>
      </c>
      <c r="S27" s="6">
        <v>440.0</v>
      </c>
      <c r="T27" s="6">
        <v>60.0</v>
      </c>
      <c r="U27" s="6">
        <v>895.0</v>
      </c>
      <c r="V27" s="7">
        <f t="shared" ref="V27:AE27" si="26">B27*L27</f>
        <v>7200</v>
      </c>
      <c r="W27" s="7">
        <f t="shared" si="26"/>
        <v>2460</v>
      </c>
      <c r="X27" s="7">
        <f t="shared" si="26"/>
        <v>2288</v>
      </c>
      <c r="Y27" s="7">
        <f t="shared" si="26"/>
        <v>1130</v>
      </c>
      <c r="Z27" s="7">
        <f t="shared" si="26"/>
        <v>1952</v>
      </c>
      <c r="AA27" s="7">
        <f t="shared" si="26"/>
        <v>1800</v>
      </c>
      <c r="AB27" s="7">
        <f t="shared" si="26"/>
        <v>2860</v>
      </c>
      <c r="AC27" s="7">
        <f t="shared" si="26"/>
        <v>8800</v>
      </c>
      <c r="AD27" s="7">
        <f t="shared" si="26"/>
        <v>6000</v>
      </c>
      <c r="AE27" s="7">
        <f t="shared" si="26"/>
        <v>10740</v>
      </c>
      <c r="AF27" s="8">
        <f t="shared" si="3"/>
        <v>45230</v>
      </c>
      <c r="AG27" s="4">
        <f>DATE(2023,4,25)</f>
        <v>45041</v>
      </c>
    </row>
    <row r="28" ht="15.75" customHeight="1">
      <c r="A28" s="4">
        <f>DATE(2023,4,26)</f>
        <v>45042</v>
      </c>
      <c r="B28" s="5">
        <v>70.0</v>
      </c>
      <c r="C28" s="5">
        <v>16.0</v>
      </c>
      <c r="D28" s="5">
        <v>12.0</v>
      </c>
      <c r="E28" s="5">
        <v>8.0</v>
      </c>
      <c r="F28" s="5">
        <v>8.0</v>
      </c>
      <c r="G28" s="5">
        <v>12.0</v>
      </c>
      <c r="H28" s="5">
        <v>6.0</v>
      </c>
      <c r="I28" s="5">
        <v>2.0</v>
      </c>
      <c r="J28" s="5">
        <v>57.0</v>
      </c>
      <c r="K28" s="5">
        <v>0.0</v>
      </c>
      <c r="L28" s="6">
        <v>45.0</v>
      </c>
      <c r="M28" s="6">
        <v>41.0</v>
      </c>
      <c r="N28" s="6">
        <v>104.0</v>
      </c>
      <c r="O28" s="6">
        <v>113.0</v>
      </c>
      <c r="P28" s="6">
        <v>122.0</v>
      </c>
      <c r="Q28" s="6">
        <v>45.0</v>
      </c>
      <c r="R28" s="6">
        <v>130.0</v>
      </c>
      <c r="S28" s="6">
        <v>440.0</v>
      </c>
      <c r="T28" s="6">
        <v>60.0</v>
      </c>
      <c r="U28" s="6">
        <v>895.0</v>
      </c>
      <c r="V28" s="7">
        <f t="shared" ref="V28:AE28" si="27">B28*L28</f>
        <v>3150</v>
      </c>
      <c r="W28" s="7">
        <f t="shared" si="27"/>
        <v>656</v>
      </c>
      <c r="X28" s="7">
        <f t="shared" si="27"/>
        <v>1248</v>
      </c>
      <c r="Y28" s="7">
        <f t="shared" si="27"/>
        <v>904</v>
      </c>
      <c r="Z28" s="7">
        <f t="shared" si="27"/>
        <v>976</v>
      </c>
      <c r="AA28" s="7">
        <f t="shared" si="27"/>
        <v>540</v>
      </c>
      <c r="AB28" s="7">
        <f t="shared" si="27"/>
        <v>780</v>
      </c>
      <c r="AC28" s="7">
        <f t="shared" si="27"/>
        <v>880</v>
      </c>
      <c r="AD28" s="7">
        <f t="shared" si="27"/>
        <v>3420</v>
      </c>
      <c r="AE28" s="7">
        <f t="shared" si="27"/>
        <v>0</v>
      </c>
      <c r="AF28" s="8">
        <f t="shared" si="3"/>
        <v>12554</v>
      </c>
      <c r="AG28" s="4">
        <f>DATE(2023,4,26)</f>
        <v>45042</v>
      </c>
    </row>
    <row r="29" ht="15.75" customHeight="1">
      <c r="A29" s="4">
        <f>DATE(2023,4,27)</f>
        <v>45043</v>
      </c>
      <c r="B29" s="5">
        <v>210.0</v>
      </c>
      <c r="C29" s="5">
        <v>40.0</v>
      </c>
      <c r="D29" s="5">
        <v>18.0</v>
      </c>
      <c r="E29" s="5">
        <v>10.0</v>
      </c>
      <c r="F29" s="5">
        <v>16.0</v>
      </c>
      <c r="G29" s="5">
        <v>12.0</v>
      </c>
      <c r="H29" s="5">
        <v>20.0</v>
      </c>
      <c r="I29" s="5">
        <v>4.0</v>
      </c>
      <c r="J29" s="5">
        <v>55.0</v>
      </c>
      <c r="K29" s="5">
        <v>0.0</v>
      </c>
      <c r="L29" s="6">
        <v>45.0</v>
      </c>
      <c r="M29" s="6">
        <v>41.0</v>
      </c>
      <c r="N29" s="6">
        <v>104.0</v>
      </c>
      <c r="O29" s="6">
        <v>113.0</v>
      </c>
      <c r="P29" s="6">
        <v>122.0</v>
      </c>
      <c r="Q29" s="6">
        <v>45.0</v>
      </c>
      <c r="R29" s="6">
        <v>130.0</v>
      </c>
      <c r="S29" s="6">
        <v>440.0</v>
      </c>
      <c r="T29" s="6">
        <v>60.0</v>
      </c>
      <c r="U29" s="6">
        <v>895.0</v>
      </c>
      <c r="V29" s="7">
        <f t="shared" ref="V29:AE29" si="28">B29*L29</f>
        <v>9450</v>
      </c>
      <c r="W29" s="7">
        <f t="shared" si="28"/>
        <v>1640</v>
      </c>
      <c r="X29" s="7">
        <f t="shared" si="28"/>
        <v>1872</v>
      </c>
      <c r="Y29" s="7">
        <f t="shared" si="28"/>
        <v>1130</v>
      </c>
      <c r="Z29" s="7">
        <f t="shared" si="28"/>
        <v>1952</v>
      </c>
      <c r="AA29" s="7">
        <f t="shared" si="28"/>
        <v>540</v>
      </c>
      <c r="AB29" s="7">
        <f t="shared" si="28"/>
        <v>2600</v>
      </c>
      <c r="AC29" s="7">
        <f t="shared" si="28"/>
        <v>1760</v>
      </c>
      <c r="AD29" s="7">
        <f t="shared" si="28"/>
        <v>3300</v>
      </c>
      <c r="AE29" s="7">
        <f t="shared" si="28"/>
        <v>0</v>
      </c>
      <c r="AF29" s="8">
        <f t="shared" si="3"/>
        <v>24244</v>
      </c>
      <c r="AG29" s="4">
        <f>DATE(2023,4,27)</f>
        <v>45043</v>
      </c>
    </row>
    <row r="30" ht="15.75" customHeight="1">
      <c r="A30" s="4">
        <f>DATE(2023,4,28)</f>
        <v>45044</v>
      </c>
      <c r="B30" s="5">
        <v>260.0</v>
      </c>
      <c r="C30" s="5">
        <v>60.0</v>
      </c>
      <c r="D30" s="5">
        <v>30.0</v>
      </c>
      <c r="E30" s="5">
        <v>24.0</v>
      </c>
      <c r="F30" s="5">
        <v>24.0</v>
      </c>
      <c r="G30" s="5">
        <v>18.0</v>
      </c>
      <c r="H30" s="5">
        <v>28.0</v>
      </c>
      <c r="I30" s="5">
        <v>8.0</v>
      </c>
      <c r="J30" s="5">
        <v>65.0</v>
      </c>
      <c r="K30" s="5">
        <v>4.0</v>
      </c>
      <c r="L30" s="6">
        <v>45.0</v>
      </c>
      <c r="M30" s="6">
        <v>41.0</v>
      </c>
      <c r="N30" s="6">
        <v>104.0</v>
      </c>
      <c r="O30" s="6">
        <v>113.0</v>
      </c>
      <c r="P30" s="6">
        <v>122.0</v>
      </c>
      <c r="Q30" s="6">
        <v>45.0</v>
      </c>
      <c r="R30" s="6">
        <v>130.0</v>
      </c>
      <c r="S30" s="6">
        <v>440.0</v>
      </c>
      <c r="T30" s="6">
        <v>60.0</v>
      </c>
      <c r="U30" s="6">
        <v>880.0</v>
      </c>
      <c r="V30" s="7">
        <f t="shared" ref="V30:AE30" si="29">B30*L30</f>
        <v>11700</v>
      </c>
      <c r="W30" s="7">
        <f t="shared" si="29"/>
        <v>2460</v>
      </c>
      <c r="X30" s="7">
        <f t="shared" si="29"/>
        <v>3120</v>
      </c>
      <c r="Y30" s="7">
        <f t="shared" si="29"/>
        <v>2712</v>
      </c>
      <c r="Z30" s="7">
        <f t="shared" si="29"/>
        <v>2928</v>
      </c>
      <c r="AA30" s="7">
        <f t="shared" si="29"/>
        <v>810</v>
      </c>
      <c r="AB30" s="7">
        <f t="shared" si="29"/>
        <v>3640</v>
      </c>
      <c r="AC30" s="7">
        <f t="shared" si="29"/>
        <v>3520</v>
      </c>
      <c r="AD30" s="7">
        <f t="shared" si="29"/>
        <v>3900</v>
      </c>
      <c r="AE30" s="7">
        <f t="shared" si="29"/>
        <v>3520</v>
      </c>
      <c r="AF30" s="8">
        <f t="shared" si="3"/>
        <v>38310</v>
      </c>
      <c r="AG30" s="4">
        <f>DATE(2023,4,28)</f>
        <v>45044</v>
      </c>
    </row>
    <row r="31" ht="15.75" customHeight="1">
      <c r="A31" s="4">
        <f>DATE(2023,4,29)</f>
        <v>45045</v>
      </c>
      <c r="B31" s="5">
        <v>160.0</v>
      </c>
      <c r="C31" s="5">
        <v>24.0</v>
      </c>
      <c r="D31" s="5">
        <v>14.0</v>
      </c>
      <c r="E31" s="5">
        <v>16.0</v>
      </c>
      <c r="F31" s="5">
        <v>18.0</v>
      </c>
      <c r="G31" s="5">
        <v>10.0</v>
      </c>
      <c r="H31" s="5">
        <v>20.0</v>
      </c>
      <c r="I31" s="5">
        <v>4.0</v>
      </c>
      <c r="J31" s="5">
        <v>52.0</v>
      </c>
      <c r="K31" s="5">
        <v>2.0</v>
      </c>
      <c r="L31" s="6">
        <v>47.0</v>
      </c>
      <c r="M31" s="6">
        <v>41.0</v>
      </c>
      <c r="N31" s="6">
        <v>104.0</v>
      </c>
      <c r="O31" s="6">
        <v>113.0</v>
      </c>
      <c r="P31" s="6">
        <v>122.0</v>
      </c>
      <c r="Q31" s="6">
        <v>45.0</v>
      </c>
      <c r="R31" s="6">
        <v>130.0</v>
      </c>
      <c r="S31" s="6">
        <v>440.0</v>
      </c>
      <c r="T31" s="6">
        <v>60.0</v>
      </c>
      <c r="U31" s="6">
        <v>880.0</v>
      </c>
      <c r="V31" s="7">
        <f t="shared" ref="V31:AE31" si="30">B31*L31</f>
        <v>7520</v>
      </c>
      <c r="W31" s="7">
        <f t="shared" si="30"/>
        <v>984</v>
      </c>
      <c r="X31" s="7">
        <f t="shared" si="30"/>
        <v>1456</v>
      </c>
      <c r="Y31" s="7">
        <f t="shared" si="30"/>
        <v>1808</v>
      </c>
      <c r="Z31" s="7">
        <f t="shared" si="30"/>
        <v>2196</v>
      </c>
      <c r="AA31" s="7">
        <f t="shared" si="30"/>
        <v>450</v>
      </c>
      <c r="AB31" s="7">
        <f t="shared" si="30"/>
        <v>2600</v>
      </c>
      <c r="AC31" s="7">
        <f t="shared" si="30"/>
        <v>1760</v>
      </c>
      <c r="AD31" s="7">
        <f t="shared" si="30"/>
        <v>3120</v>
      </c>
      <c r="AE31" s="7">
        <f t="shared" si="30"/>
        <v>1760</v>
      </c>
      <c r="AF31" s="8">
        <f t="shared" si="3"/>
        <v>23654</v>
      </c>
      <c r="AG31" s="4">
        <f>DATE(2023,4,29)</f>
        <v>45045</v>
      </c>
    </row>
    <row r="32" ht="15.75" customHeight="1">
      <c r="A32" s="4">
        <f>DATE(2023,4,30)</f>
        <v>45046</v>
      </c>
      <c r="B32" s="5">
        <v>156.0</v>
      </c>
      <c r="C32" s="5">
        <v>26.0</v>
      </c>
      <c r="D32" s="5">
        <v>16.0</v>
      </c>
      <c r="E32" s="5">
        <v>10.0</v>
      </c>
      <c r="F32" s="5">
        <v>12.0</v>
      </c>
      <c r="G32" s="5">
        <v>14.0</v>
      </c>
      <c r="H32" s="5">
        <v>22.0</v>
      </c>
      <c r="I32" s="5">
        <v>2.0</v>
      </c>
      <c r="J32" s="5">
        <v>54.0</v>
      </c>
      <c r="K32" s="5">
        <v>0.0</v>
      </c>
      <c r="L32" s="6">
        <v>47.0</v>
      </c>
      <c r="M32" s="6">
        <v>41.0</v>
      </c>
      <c r="N32" s="6">
        <v>104.0</v>
      </c>
      <c r="O32" s="6">
        <v>113.0</v>
      </c>
      <c r="P32" s="6">
        <v>122.0</v>
      </c>
      <c r="Q32" s="6">
        <v>45.0</v>
      </c>
      <c r="R32" s="6">
        <v>141.0</v>
      </c>
      <c r="S32" s="6">
        <v>440.0</v>
      </c>
      <c r="T32" s="6">
        <v>60.0</v>
      </c>
      <c r="U32" s="6">
        <v>880.0</v>
      </c>
      <c r="V32" s="7">
        <f t="shared" ref="V32:AE32" si="31">B32*L32</f>
        <v>7332</v>
      </c>
      <c r="W32" s="7">
        <f t="shared" si="31"/>
        <v>1066</v>
      </c>
      <c r="X32" s="7">
        <f t="shared" si="31"/>
        <v>1664</v>
      </c>
      <c r="Y32" s="7">
        <f t="shared" si="31"/>
        <v>1130</v>
      </c>
      <c r="Z32" s="7">
        <f t="shared" si="31"/>
        <v>1464</v>
      </c>
      <c r="AA32" s="7">
        <f t="shared" si="31"/>
        <v>630</v>
      </c>
      <c r="AB32" s="7">
        <f t="shared" si="31"/>
        <v>3102</v>
      </c>
      <c r="AC32" s="7">
        <f t="shared" si="31"/>
        <v>880</v>
      </c>
      <c r="AD32" s="7">
        <f t="shared" si="31"/>
        <v>3240</v>
      </c>
      <c r="AE32" s="7">
        <f t="shared" si="31"/>
        <v>0</v>
      </c>
      <c r="AF32" s="8">
        <f t="shared" si="3"/>
        <v>20508</v>
      </c>
      <c r="AG32" s="4">
        <f>DATE(2023,4,30)</f>
        <v>45046</v>
      </c>
    </row>
    <row r="33" ht="15.75" customHeight="1">
      <c r="A33" s="4">
        <f>DATE(2023,4,31)</f>
        <v>45047</v>
      </c>
      <c r="B33" s="5">
        <v>130.0</v>
      </c>
      <c r="C33" s="5">
        <v>20.0</v>
      </c>
      <c r="D33" s="5">
        <v>12.0</v>
      </c>
      <c r="E33" s="5">
        <v>12.0</v>
      </c>
      <c r="F33" s="5">
        <v>14.0</v>
      </c>
      <c r="G33" s="5">
        <v>8.0</v>
      </c>
      <c r="H33" s="5">
        <v>16.0</v>
      </c>
      <c r="I33" s="5">
        <v>2.0</v>
      </c>
      <c r="J33" s="5">
        <v>55.0</v>
      </c>
      <c r="K33" s="5">
        <v>2.0</v>
      </c>
      <c r="L33" s="6">
        <v>47.0</v>
      </c>
      <c r="M33" s="6">
        <v>41.0</v>
      </c>
      <c r="N33" s="6">
        <v>105.0</v>
      </c>
      <c r="O33" s="6">
        <v>113.0</v>
      </c>
      <c r="P33" s="6">
        <v>118.0</v>
      </c>
      <c r="Q33" s="6">
        <v>45.0</v>
      </c>
      <c r="R33" s="6">
        <v>141.0</v>
      </c>
      <c r="S33" s="6">
        <v>440.0</v>
      </c>
      <c r="T33" s="6">
        <v>60.0</v>
      </c>
      <c r="U33" s="6">
        <v>880.0</v>
      </c>
      <c r="V33" s="7">
        <f t="shared" ref="V33:AE33" si="32">B33*L33</f>
        <v>6110</v>
      </c>
      <c r="W33" s="7">
        <f t="shared" si="32"/>
        <v>820</v>
      </c>
      <c r="X33" s="7">
        <f t="shared" si="32"/>
        <v>1260</v>
      </c>
      <c r="Y33" s="7">
        <f t="shared" si="32"/>
        <v>1356</v>
      </c>
      <c r="Z33" s="7">
        <f t="shared" si="32"/>
        <v>1652</v>
      </c>
      <c r="AA33" s="7">
        <f t="shared" si="32"/>
        <v>360</v>
      </c>
      <c r="AB33" s="7">
        <f t="shared" si="32"/>
        <v>2256</v>
      </c>
      <c r="AC33" s="7">
        <f t="shared" si="32"/>
        <v>880</v>
      </c>
      <c r="AD33" s="7">
        <f t="shared" si="32"/>
        <v>3300</v>
      </c>
      <c r="AE33" s="7">
        <f t="shared" si="32"/>
        <v>1760</v>
      </c>
      <c r="AF33" s="8">
        <f t="shared" si="3"/>
        <v>19754</v>
      </c>
      <c r="AG33" s="4">
        <f>DATE(2023,4,31)</f>
        <v>45047</v>
      </c>
    </row>
    <row r="34" ht="15.75" customHeight="1">
      <c r="A34" s="9"/>
      <c r="B34" s="10">
        <f t="shared" ref="B34:U34" si="33">AVERAGE(B3:B33)</f>
        <v>100.516129</v>
      </c>
      <c r="C34" s="10">
        <f t="shared" si="33"/>
        <v>41.16129032</v>
      </c>
      <c r="D34" s="10">
        <f t="shared" si="33"/>
        <v>14.32258065</v>
      </c>
      <c r="E34" s="10">
        <f t="shared" si="33"/>
        <v>10.64516129</v>
      </c>
      <c r="F34" s="10">
        <f t="shared" si="33"/>
        <v>16.51612903</v>
      </c>
      <c r="G34" s="10">
        <f t="shared" si="33"/>
        <v>23.22580645</v>
      </c>
      <c r="H34" s="10">
        <f t="shared" si="33"/>
        <v>18.32258065</v>
      </c>
      <c r="I34" s="10">
        <f t="shared" si="33"/>
        <v>6.161290323</v>
      </c>
      <c r="J34" s="10">
        <f t="shared" si="33"/>
        <v>62.80645161</v>
      </c>
      <c r="K34" s="10">
        <f t="shared" si="33"/>
        <v>3.161290323</v>
      </c>
      <c r="L34" s="11">
        <f t="shared" si="33"/>
        <v>44.58064516</v>
      </c>
      <c r="M34" s="11">
        <f t="shared" si="33"/>
        <v>41.19354839</v>
      </c>
      <c r="N34" s="11">
        <f t="shared" si="33"/>
        <v>104.4193548</v>
      </c>
      <c r="O34" s="11">
        <f t="shared" si="33"/>
        <v>111.1612903</v>
      </c>
      <c r="P34" s="11">
        <f t="shared" si="33"/>
        <v>115.1612903</v>
      </c>
      <c r="Q34" s="11">
        <f t="shared" si="33"/>
        <v>44.12903226</v>
      </c>
      <c r="R34" s="11">
        <f t="shared" si="33"/>
        <v>151.4193548</v>
      </c>
      <c r="S34" s="11">
        <f t="shared" si="33"/>
        <v>435.1935484</v>
      </c>
      <c r="T34" s="11">
        <f t="shared" si="33"/>
        <v>59.87096774</v>
      </c>
      <c r="U34" s="11">
        <f t="shared" si="33"/>
        <v>874.3548387</v>
      </c>
      <c r="V34" s="12">
        <f t="shared" ref="V34:AF34" si="34">SUM(V3:V33)</f>
        <v>140152</v>
      </c>
      <c r="W34" s="12">
        <f t="shared" si="34"/>
        <v>52482</v>
      </c>
      <c r="X34" s="12">
        <f t="shared" si="34"/>
        <v>46116</v>
      </c>
      <c r="Y34" s="12">
        <f t="shared" si="34"/>
        <v>36786</v>
      </c>
      <c r="Z34" s="12">
        <f t="shared" si="34"/>
        <v>59226</v>
      </c>
      <c r="AA34" s="12">
        <f t="shared" si="34"/>
        <v>32046</v>
      </c>
      <c r="AB34" s="12">
        <f t="shared" si="34"/>
        <v>83994</v>
      </c>
      <c r="AC34" s="12">
        <f t="shared" si="34"/>
        <v>82965</v>
      </c>
      <c r="AD34" s="12">
        <f t="shared" si="34"/>
        <v>116603</v>
      </c>
      <c r="AE34" s="12">
        <f t="shared" si="34"/>
        <v>85970</v>
      </c>
      <c r="AF34" s="13">
        <f t="shared" si="34"/>
        <v>736340</v>
      </c>
      <c r="AG34" s="14"/>
    </row>
    <row r="35" ht="15.75" customHeight="1">
      <c r="A35" s="5"/>
      <c r="B35" s="2" t="s">
        <v>4</v>
      </c>
      <c r="C35" s="2" t="s">
        <v>5</v>
      </c>
      <c r="D35" s="2" t="s">
        <v>6</v>
      </c>
      <c r="E35" s="2" t="s">
        <v>7</v>
      </c>
      <c r="F35" s="2" t="s">
        <v>8</v>
      </c>
      <c r="G35" s="2" t="s">
        <v>9</v>
      </c>
      <c r="H35" s="3" t="s">
        <v>10</v>
      </c>
      <c r="I35" s="2" t="s">
        <v>11</v>
      </c>
      <c r="J35" s="2" t="s">
        <v>12</v>
      </c>
      <c r="K35" s="2" t="s">
        <v>13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2" t="s">
        <v>4</v>
      </c>
      <c r="W35" s="2" t="s">
        <v>5</v>
      </c>
      <c r="X35" s="2" t="s">
        <v>6</v>
      </c>
      <c r="Y35" s="2" t="s">
        <v>7</v>
      </c>
      <c r="Z35" s="2" t="s">
        <v>8</v>
      </c>
      <c r="AA35" s="2" t="s">
        <v>9</v>
      </c>
      <c r="AB35" s="3" t="s">
        <v>10</v>
      </c>
      <c r="AC35" s="2" t="s">
        <v>11</v>
      </c>
      <c r="AD35" s="2" t="s">
        <v>12</v>
      </c>
      <c r="AE35" s="2" t="s">
        <v>13</v>
      </c>
      <c r="AF35" s="15" t="s">
        <v>15</v>
      </c>
      <c r="AG35" s="16">
        <f>SUM(AF3:AF33)/31</f>
        <v>23752.90323</v>
      </c>
    </row>
    <row r="36" ht="15.75" customHeight="1">
      <c r="A36" s="17"/>
      <c r="B36" s="5">
        <f t="shared" ref="B36:K36" si="35">SUM(B3:B33)</f>
        <v>3116</v>
      </c>
      <c r="C36" s="5">
        <f t="shared" si="35"/>
        <v>1276</v>
      </c>
      <c r="D36" s="5">
        <f t="shared" si="35"/>
        <v>444</v>
      </c>
      <c r="E36" s="5">
        <f t="shared" si="35"/>
        <v>330</v>
      </c>
      <c r="F36" s="5">
        <f t="shared" si="35"/>
        <v>512</v>
      </c>
      <c r="G36" s="5">
        <f t="shared" si="35"/>
        <v>720</v>
      </c>
      <c r="H36" s="5">
        <f t="shared" si="35"/>
        <v>568</v>
      </c>
      <c r="I36" s="5">
        <f t="shared" si="35"/>
        <v>191</v>
      </c>
      <c r="J36" s="5">
        <f t="shared" si="35"/>
        <v>1947</v>
      </c>
      <c r="K36" s="5">
        <f t="shared" si="35"/>
        <v>98</v>
      </c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5" t="s">
        <v>16</v>
      </c>
      <c r="AG36" s="18">
        <f>STDEV(AF3:AF33)</f>
        <v>16557.76561</v>
      </c>
    </row>
    <row r="37" ht="15.75" customHeight="1">
      <c r="A37" s="17"/>
      <c r="B37" s="17"/>
      <c r="C37" s="19" t="s">
        <v>17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15" t="s">
        <v>18</v>
      </c>
      <c r="AG37" s="16">
        <f>MIN(AF3:AF33)</f>
        <v>8093</v>
      </c>
    </row>
    <row r="38" ht="15.75" customHeight="1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5" t="s">
        <v>19</v>
      </c>
      <c r="AG38" s="16">
        <f>MAX(AF3:AF33)</f>
        <v>63028</v>
      </c>
    </row>
    <row r="39" ht="15.75" customHeight="1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21"/>
      <c r="AG39" s="17"/>
    </row>
    <row r="40" ht="15.75" customHeight="1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5"/>
      <c r="Y40" s="17"/>
      <c r="Z40" s="17"/>
      <c r="AA40" s="17"/>
      <c r="AB40" s="17"/>
      <c r="AC40" s="17"/>
      <c r="AD40" s="17"/>
      <c r="AE40" s="17"/>
      <c r="AF40" s="17"/>
      <c r="AG40" s="17"/>
    </row>
    <row r="41" ht="15.75" customHeight="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</row>
    <row r="42" ht="15.75" customHeight="1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</row>
    <row r="43" ht="15.75" customHeight="1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7"/>
      <c r="Y43" s="17"/>
      <c r="Z43" s="17"/>
      <c r="AA43" s="17"/>
      <c r="AB43" s="17"/>
      <c r="AC43" s="17"/>
      <c r="AD43" s="17"/>
      <c r="AE43" s="17"/>
      <c r="AF43" s="17"/>
      <c r="AG43" s="17"/>
    </row>
    <row r="44" ht="15.75" customHeight="1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7"/>
      <c r="Y44" s="17"/>
      <c r="Z44" s="17"/>
      <c r="AA44" s="17"/>
      <c r="AB44" s="17"/>
      <c r="AC44" s="17"/>
      <c r="AD44" s="17"/>
      <c r="AE44" s="17"/>
      <c r="AF44" s="17"/>
      <c r="AG44" s="17"/>
    </row>
    <row r="45" ht="15.75" customHeight="1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7"/>
      <c r="Y45" s="17"/>
      <c r="Z45" s="17"/>
      <c r="AA45" s="17"/>
      <c r="AB45" s="17"/>
      <c r="AC45" s="17"/>
      <c r="AD45" s="17"/>
      <c r="AE45" s="17"/>
      <c r="AF45" s="17"/>
      <c r="AG45" s="17"/>
    </row>
    <row r="46" ht="15.75" customHeight="1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7"/>
      <c r="Y46" s="17"/>
      <c r="Z46" s="17"/>
      <c r="AA46" s="17"/>
      <c r="AB46" s="17"/>
      <c r="AC46" s="17"/>
      <c r="AD46" s="17"/>
      <c r="AE46" s="17"/>
      <c r="AF46" s="17"/>
      <c r="AG46" s="17"/>
    </row>
    <row r="47" ht="15.75" customHeight="1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7"/>
      <c r="Y47" s="17"/>
      <c r="Z47" s="17"/>
      <c r="AA47" s="17"/>
      <c r="AB47" s="17"/>
      <c r="AC47" s="17"/>
      <c r="AD47" s="17"/>
      <c r="AE47" s="17"/>
      <c r="AF47" s="17"/>
      <c r="AG47" s="17"/>
    </row>
    <row r="48" ht="15.75" customHeight="1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7"/>
      <c r="Y48" s="17"/>
      <c r="Z48" s="17"/>
      <c r="AA48" s="17"/>
      <c r="AB48" s="17"/>
      <c r="AC48" s="17"/>
      <c r="AD48" s="17"/>
      <c r="AE48" s="17"/>
      <c r="AF48" s="17"/>
      <c r="AG48" s="17"/>
    </row>
    <row r="49" ht="15.75" customHeight="1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7"/>
      <c r="Y49" s="17"/>
      <c r="Z49" s="17"/>
      <c r="AA49" s="17"/>
      <c r="AB49" s="17"/>
      <c r="AC49" s="17"/>
      <c r="AD49" s="17"/>
      <c r="AE49" s="17"/>
      <c r="AF49" s="17"/>
      <c r="AG49" s="17"/>
    </row>
    <row r="50" ht="15.75" customHeight="1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7"/>
      <c r="Y50" s="17"/>
      <c r="Z50" s="17"/>
      <c r="AA50" s="17"/>
      <c r="AB50" s="17"/>
      <c r="AC50" s="17"/>
      <c r="AD50" s="17"/>
      <c r="AE50" s="17"/>
      <c r="AF50" s="17"/>
      <c r="AG50" s="17"/>
    </row>
    <row r="51" ht="15.75" customHeight="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7"/>
      <c r="Y51" s="17"/>
      <c r="Z51" s="17"/>
      <c r="AA51" s="17"/>
      <c r="AB51" s="17"/>
      <c r="AC51" s="17"/>
      <c r="AD51" s="17"/>
      <c r="AE51" s="17"/>
      <c r="AF51" s="17"/>
      <c r="AG51" s="17"/>
    </row>
    <row r="52" ht="15.75" customHeight="1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7"/>
      <c r="Y52" s="17"/>
      <c r="Z52" s="17"/>
      <c r="AA52" s="17"/>
      <c r="AB52" s="17"/>
      <c r="AC52" s="17"/>
      <c r="AD52" s="17"/>
      <c r="AE52" s="17"/>
      <c r="AF52" s="17"/>
      <c r="AG52" s="17"/>
    </row>
    <row r="53" ht="15.75" customHeight="1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7"/>
      <c r="Y53" s="17"/>
      <c r="Z53" s="17"/>
      <c r="AA53" s="17"/>
      <c r="AB53" s="17"/>
      <c r="AC53" s="17"/>
      <c r="AD53" s="17"/>
      <c r="AE53" s="17"/>
      <c r="AF53" s="17"/>
      <c r="AG53" s="17"/>
    </row>
    <row r="54" ht="15.75" customHeight="1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7"/>
      <c r="Y54" s="17"/>
      <c r="Z54" s="17"/>
      <c r="AA54" s="17"/>
      <c r="AB54" s="17"/>
      <c r="AC54" s="17"/>
      <c r="AD54" s="17"/>
      <c r="AE54" s="17"/>
      <c r="AF54" s="17"/>
      <c r="AG54" s="17"/>
    </row>
    <row r="55" ht="15.75" customHeight="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7"/>
      <c r="Y55" s="17"/>
      <c r="Z55" s="17"/>
      <c r="AA55" s="17"/>
      <c r="AB55" s="17"/>
      <c r="AC55" s="17"/>
      <c r="AD55" s="17"/>
      <c r="AE55" s="17"/>
      <c r="AF55" s="17"/>
      <c r="AG55" s="17"/>
    </row>
    <row r="56" ht="15.75" customHeight="1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7"/>
      <c r="Y56" s="17"/>
      <c r="Z56" s="17"/>
      <c r="AA56" s="17"/>
      <c r="AB56" s="17"/>
      <c r="AC56" s="17"/>
      <c r="AD56" s="17"/>
      <c r="AE56" s="17"/>
      <c r="AF56" s="17"/>
      <c r="AG56" s="17"/>
    </row>
    <row r="57" ht="15.75" customHeight="1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7"/>
      <c r="Y57" s="17"/>
      <c r="Z57" s="17"/>
      <c r="AA57" s="17"/>
      <c r="AB57" s="17"/>
      <c r="AC57" s="17"/>
      <c r="AD57" s="17"/>
      <c r="AE57" s="17"/>
      <c r="AF57" s="17"/>
      <c r="AG57" s="17"/>
    </row>
    <row r="58" ht="15.75" customHeight="1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7"/>
      <c r="Y58" s="17"/>
      <c r="Z58" s="17"/>
      <c r="AA58" s="17"/>
      <c r="AB58" s="17"/>
      <c r="AC58" s="17"/>
      <c r="AD58" s="17"/>
      <c r="AE58" s="17"/>
      <c r="AF58" s="17"/>
      <c r="AG58" s="17"/>
    </row>
    <row r="59" ht="15.75" customHeight="1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7"/>
      <c r="Y59" s="17"/>
      <c r="Z59" s="17"/>
      <c r="AA59" s="17"/>
      <c r="AB59" s="17"/>
      <c r="AC59" s="17"/>
      <c r="AD59" s="17"/>
      <c r="AE59" s="17"/>
      <c r="AF59" s="17"/>
      <c r="AG59" s="17"/>
    </row>
    <row r="60" ht="15.75" customHeight="1">
      <c r="H60" s="22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7"/>
      <c r="Y60" s="17"/>
      <c r="Z60" s="17"/>
      <c r="AA60" s="17"/>
      <c r="AB60" s="17"/>
      <c r="AC60" s="17"/>
      <c r="AD60" s="17"/>
      <c r="AE60" s="17"/>
      <c r="AF60" s="17"/>
      <c r="AG60" s="17"/>
    </row>
    <row r="61" ht="15.75" customHeight="1">
      <c r="H61" s="5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7"/>
      <c r="Y61" s="17"/>
      <c r="Z61" s="17"/>
      <c r="AA61" s="17"/>
      <c r="AB61" s="17"/>
      <c r="AC61" s="17"/>
      <c r="AD61" s="17"/>
      <c r="AE61" s="17"/>
      <c r="AF61" s="17"/>
      <c r="AG61" s="17"/>
    </row>
    <row r="62" ht="15.75" customHeight="1">
      <c r="H62" s="5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7"/>
      <c r="Y62" s="17"/>
      <c r="Z62" s="17"/>
      <c r="AA62" s="17"/>
      <c r="AB62" s="17"/>
      <c r="AC62" s="17"/>
      <c r="AD62" s="17"/>
      <c r="AE62" s="17"/>
      <c r="AF62" s="17"/>
      <c r="AG62" s="17"/>
    </row>
    <row r="63" ht="15.75" customHeight="1">
      <c r="H63" s="5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7"/>
      <c r="Y63" s="17"/>
      <c r="Z63" s="17"/>
      <c r="AA63" s="17"/>
      <c r="AB63" s="17"/>
      <c r="AC63" s="17"/>
      <c r="AD63" s="17"/>
      <c r="AE63" s="17"/>
      <c r="AF63" s="17"/>
      <c r="AG63" s="17"/>
    </row>
    <row r="64" ht="15.75" customHeight="1">
      <c r="H64" s="5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7"/>
      <c r="Y64" s="17"/>
      <c r="Z64" s="17"/>
      <c r="AA64" s="17"/>
      <c r="AB64" s="17"/>
      <c r="AC64" s="17"/>
      <c r="AD64" s="17"/>
      <c r="AE64" s="17"/>
      <c r="AF64" s="17"/>
      <c r="AG64" s="17"/>
    </row>
    <row r="65" ht="15.75" customHeight="1">
      <c r="H65" s="5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7"/>
      <c r="Y65" s="17"/>
      <c r="Z65" s="17"/>
      <c r="AA65" s="17"/>
      <c r="AB65" s="17"/>
      <c r="AC65" s="17"/>
      <c r="AD65" s="17"/>
      <c r="AE65" s="17"/>
      <c r="AF65" s="17"/>
      <c r="AG65" s="17"/>
    </row>
    <row r="66" ht="15.75" customHeight="1">
      <c r="H66" s="5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7"/>
      <c r="Y66" s="17"/>
      <c r="Z66" s="17"/>
      <c r="AA66" s="17"/>
      <c r="AB66" s="17"/>
      <c r="AC66" s="17"/>
      <c r="AD66" s="17"/>
      <c r="AE66" s="17"/>
      <c r="AF66" s="17"/>
      <c r="AG66" s="17"/>
    </row>
    <row r="67" ht="15.75" customHeight="1">
      <c r="H67" s="5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7"/>
      <c r="Y67" s="17"/>
      <c r="Z67" s="17"/>
      <c r="AA67" s="17"/>
      <c r="AB67" s="17"/>
      <c r="AC67" s="17"/>
      <c r="AD67" s="17"/>
      <c r="AE67" s="17"/>
      <c r="AF67" s="17"/>
      <c r="AG67" s="17"/>
    </row>
    <row r="68" ht="15.75" customHeight="1">
      <c r="H68" s="5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7"/>
      <c r="Y68" s="17"/>
      <c r="Z68" s="17"/>
      <c r="AA68" s="17"/>
      <c r="AB68" s="17"/>
      <c r="AC68" s="17"/>
      <c r="AD68" s="17"/>
      <c r="AE68" s="17"/>
      <c r="AF68" s="17"/>
      <c r="AG68" s="17"/>
    </row>
    <row r="69" ht="15.75" customHeight="1">
      <c r="H69" s="5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7"/>
      <c r="Y69" s="17"/>
      <c r="Z69" s="17"/>
      <c r="AA69" s="17"/>
      <c r="AB69" s="17"/>
      <c r="AC69" s="17"/>
      <c r="AD69" s="17"/>
      <c r="AE69" s="17"/>
      <c r="AF69" s="17"/>
      <c r="AG69" s="17"/>
    </row>
    <row r="70" ht="15.75" customHeight="1">
      <c r="H70" s="5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7"/>
      <c r="Y70" s="17"/>
      <c r="Z70" s="17"/>
      <c r="AA70" s="17"/>
      <c r="AB70" s="17"/>
      <c r="AC70" s="17"/>
      <c r="AD70" s="17"/>
      <c r="AE70" s="17"/>
      <c r="AF70" s="17"/>
      <c r="AG70" s="17"/>
    </row>
    <row r="71" ht="15.75" customHeight="1">
      <c r="H71" s="5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7"/>
      <c r="Y71" s="17"/>
      <c r="Z71" s="17"/>
      <c r="AA71" s="17"/>
      <c r="AB71" s="17"/>
      <c r="AC71" s="17"/>
      <c r="AD71" s="17"/>
      <c r="AE71" s="17"/>
      <c r="AF71" s="17"/>
      <c r="AG71" s="17"/>
    </row>
    <row r="72" ht="15.75" customHeight="1">
      <c r="H72" s="5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7"/>
      <c r="Y72" s="17"/>
      <c r="Z72" s="17"/>
      <c r="AA72" s="17"/>
      <c r="AB72" s="17"/>
      <c r="AC72" s="17"/>
      <c r="AD72" s="17"/>
      <c r="AE72" s="17"/>
      <c r="AF72" s="17"/>
      <c r="AG72" s="17"/>
    </row>
    <row r="73" ht="15.75" customHeight="1">
      <c r="H73" s="5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7"/>
      <c r="Y73" s="17"/>
      <c r="Z73" s="17"/>
      <c r="AA73" s="17"/>
      <c r="AB73" s="17"/>
      <c r="AC73" s="17"/>
      <c r="AD73" s="17"/>
      <c r="AE73" s="17"/>
      <c r="AF73" s="17"/>
      <c r="AG73" s="17"/>
    </row>
    <row r="74" ht="15.75" customHeight="1">
      <c r="H74" s="5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7"/>
      <c r="Y74" s="17"/>
      <c r="Z74" s="17"/>
      <c r="AA74" s="17"/>
      <c r="AB74" s="17"/>
      <c r="AC74" s="17"/>
      <c r="AD74" s="17"/>
      <c r="AE74" s="17"/>
      <c r="AF74" s="17"/>
      <c r="AG74" s="17"/>
    </row>
    <row r="75" ht="15.75" customHeight="1">
      <c r="H75" s="5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</row>
    <row r="76" ht="15.75" customHeight="1">
      <c r="H76" s="5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</row>
    <row r="77" ht="15.75" customHeight="1">
      <c r="H77" s="5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</row>
    <row r="78" ht="15.75" customHeight="1">
      <c r="H78" s="5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</row>
    <row r="79" ht="15.75" customHeight="1">
      <c r="H79" s="5"/>
      <c r="I79" s="17"/>
      <c r="J79" s="17"/>
      <c r="K79" s="23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</row>
    <row r="80" ht="15.75" customHeight="1">
      <c r="H80" s="5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</row>
    <row r="81" ht="15.75" customHeight="1">
      <c r="H81" s="5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</row>
    <row r="82" ht="15.75" customHeight="1">
      <c r="H82" s="5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</row>
    <row r="83" ht="15.75" customHeight="1">
      <c r="H83" s="5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</row>
    <row r="84" ht="15.75" customHeight="1">
      <c r="H84" s="5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</row>
    <row r="85" ht="15.75" customHeight="1">
      <c r="H85" s="5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</row>
    <row r="86" ht="15.75" customHeight="1">
      <c r="H86" s="5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</row>
    <row r="87" ht="15.75" customHeight="1">
      <c r="H87" s="5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</row>
    <row r="88" ht="15.75" customHeight="1">
      <c r="H88" s="5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</row>
    <row r="89" ht="15.75" customHeight="1">
      <c r="H89" s="5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</row>
    <row r="90" ht="15.75" customHeight="1">
      <c r="H90" s="5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</row>
    <row r="91" ht="15.75" customHeight="1">
      <c r="H91" s="5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</row>
    <row r="92" ht="15.75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</row>
    <row r="93" ht="15.75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</row>
    <row r="94" ht="15.75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</row>
    <row r="95" ht="15.75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</row>
    <row r="96" ht="15.75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</row>
    <row r="97" ht="15.7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</row>
    <row r="98" ht="15.7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</row>
    <row r="99" ht="15.7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</row>
    <row r="100" ht="15.7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</row>
    <row r="101" ht="15.75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</row>
    <row r="102" ht="15.75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</row>
    <row r="103" ht="15.75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</row>
    <row r="104" ht="15.75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</row>
    <row r="105" ht="15.7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</row>
    <row r="106" ht="15.75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</row>
    <row r="107" ht="15.75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</row>
    <row r="108" ht="15.75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</row>
    <row r="109" ht="15.75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</row>
    <row r="110" ht="15.75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</row>
    <row r="111" ht="15.75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</row>
    <row r="112" ht="15.75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</row>
    <row r="113" ht="15.75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</row>
    <row r="114" ht="15.75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</row>
    <row r="115" ht="15.75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</row>
    <row r="116" ht="15.75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</row>
    <row r="117" ht="15.7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</row>
    <row r="118" ht="15.75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</row>
    <row r="119" ht="15.7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</row>
    <row r="120" ht="15.7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</row>
    <row r="121" ht="15.7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</row>
    <row r="122" ht="15.75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</row>
    <row r="123" ht="15.7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</row>
    <row r="124" ht="15.75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</row>
    <row r="125" ht="15.7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</row>
    <row r="126" ht="15.7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</row>
    <row r="127" ht="15.7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</row>
    <row r="128" ht="15.7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</row>
    <row r="129" ht="15.7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</row>
    <row r="130" ht="15.7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</row>
    <row r="131" ht="15.7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</row>
    <row r="132" ht="15.7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</row>
    <row r="133" ht="15.7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</row>
    <row r="134" ht="15.75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</row>
    <row r="135" ht="15.7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</row>
    <row r="136" ht="15.7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</row>
    <row r="137" ht="15.7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</row>
    <row r="138" ht="15.7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</row>
    <row r="139" ht="15.7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</row>
    <row r="140" ht="15.7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</row>
    <row r="141" ht="15.7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</row>
    <row r="142" ht="15.7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</row>
    <row r="143" ht="15.7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</row>
    <row r="144" ht="15.7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</row>
    <row r="145" ht="15.7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</row>
    <row r="146" ht="15.7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</row>
    <row r="147" ht="15.7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</row>
    <row r="148" ht="15.7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</row>
    <row r="149" ht="15.7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</row>
    <row r="150" ht="15.7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</row>
    <row r="151" ht="15.7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</row>
    <row r="152" ht="15.7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</row>
    <row r="153" ht="15.7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</row>
    <row r="154" ht="15.7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</row>
    <row r="155" ht="15.7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</row>
    <row r="156" ht="15.7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</row>
    <row r="157" ht="15.7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</row>
    <row r="158" ht="15.7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</row>
    <row r="159" ht="15.7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</row>
    <row r="160" ht="15.7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</row>
    <row r="161" ht="15.7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</row>
    <row r="162" ht="15.7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</row>
    <row r="163" ht="15.7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</row>
    <row r="164" ht="15.7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</row>
    <row r="165" ht="15.7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</row>
    <row r="166" ht="15.7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</row>
    <row r="167" ht="15.7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</row>
    <row r="168" ht="15.7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</row>
    <row r="169" ht="15.7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</row>
    <row r="170" ht="15.7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</row>
    <row r="171" ht="15.7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</row>
    <row r="172" ht="15.7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</row>
    <row r="173" ht="15.7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</row>
    <row r="174" ht="15.7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</row>
    <row r="175" ht="15.7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</row>
    <row r="176" ht="15.7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</row>
    <row r="177" ht="15.7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</row>
    <row r="178" ht="15.7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</row>
    <row r="179" ht="15.7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</row>
    <row r="180" ht="15.7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</row>
    <row r="181" ht="15.7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</row>
    <row r="182" ht="15.7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</row>
    <row r="183" ht="15.7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</row>
    <row r="184" ht="15.7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</row>
    <row r="185" ht="15.7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</row>
    <row r="186" ht="15.7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</row>
    <row r="187" ht="15.7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</row>
    <row r="188" ht="15.7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</row>
    <row r="189" ht="15.7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</row>
    <row r="190" ht="15.7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</row>
    <row r="191" ht="15.7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</row>
    <row r="192" ht="15.7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</row>
    <row r="193" ht="15.7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</row>
    <row r="194" ht="15.7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</row>
    <row r="195" ht="15.7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</row>
    <row r="196" ht="15.7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</row>
    <row r="197" ht="15.7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</row>
    <row r="198" ht="15.7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</row>
    <row r="199" ht="15.7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</row>
    <row r="200" ht="15.7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</row>
    <row r="201" ht="15.7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</row>
    <row r="202" ht="15.7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</row>
    <row r="203" ht="15.7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</row>
    <row r="204" ht="15.7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</row>
    <row r="205" ht="15.7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</row>
    <row r="206" ht="15.7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</row>
    <row r="207" ht="15.7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</row>
    <row r="208" ht="15.7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</row>
    <row r="209" ht="15.7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</row>
    <row r="210" ht="15.7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</row>
    <row r="211" ht="15.7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</row>
    <row r="212" ht="15.7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</row>
    <row r="213" ht="15.7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</row>
    <row r="214" ht="15.7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</row>
    <row r="215" ht="15.7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</row>
    <row r="216" ht="15.7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</row>
    <row r="217" ht="15.7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</row>
    <row r="218" ht="15.7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</row>
    <row r="219" ht="15.7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</row>
    <row r="220" ht="15.7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</row>
    <row r="221" ht="15.75" customHeight="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</row>
    <row r="222" ht="15.75" customHeight="1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</row>
    <row r="223" ht="15.75" customHeight="1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</row>
    <row r="224" ht="15.75" customHeight="1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</row>
    <row r="225" ht="15.75" customHeight="1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</row>
    <row r="226" ht="15.75" customHeight="1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</row>
    <row r="227" ht="15.75" customHeight="1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</row>
    <row r="228" ht="15.75" customHeight="1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</row>
    <row r="229" ht="15.75" customHeight="1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</row>
    <row r="230" ht="15.75" customHeight="1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</row>
    <row r="231" ht="15.75" customHeight="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</row>
    <row r="232" ht="15.75" customHeight="1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</row>
    <row r="233" ht="15.75" customHeight="1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</row>
    <row r="234" ht="15.75" customHeight="1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</row>
    <row r="235" ht="15.75" customHeight="1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</row>
    <row r="236" ht="15.75" customHeight="1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</row>
    <row r="237" ht="15.75" customHeight="1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</row>
    <row r="238" ht="15.75" customHeight="1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</row>
    <row r="239" ht="15.75" customHeight="1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</row>
    <row r="240" ht="15.75" customHeight="1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</row>
    <row r="241" ht="15.75" customHeight="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</row>
    <row r="242" ht="15.75" customHeight="1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</row>
    <row r="243" ht="15.75" customHeight="1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</row>
    <row r="244" ht="15.75" customHeight="1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</row>
    <row r="245" ht="15.75" customHeight="1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</row>
    <row r="246" ht="15.75" customHeight="1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</row>
    <row r="247" ht="15.75" customHeight="1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</row>
    <row r="248" ht="15.75" customHeight="1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</row>
    <row r="249" ht="15.75" customHeight="1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</row>
    <row r="250" ht="15.75" customHeight="1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</row>
    <row r="251" ht="15.75" customHeight="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</row>
    <row r="252" ht="15.75" customHeight="1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</row>
    <row r="253" ht="15.75" customHeight="1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</row>
    <row r="254" ht="15.75" customHeight="1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</row>
    <row r="255" ht="15.75" customHeight="1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</row>
    <row r="256" ht="15.75" customHeight="1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</row>
    <row r="257" ht="15.75" customHeight="1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</row>
    <row r="258" ht="15.75" customHeight="1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</row>
    <row r="259" ht="15.75" customHeight="1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</row>
    <row r="260" ht="15.75" customHeight="1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</row>
    <row r="261" ht="15.75" customHeight="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</row>
    <row r="262" ht="15.75" customHeight="1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</row>
    <row r="263" ht="15.75" customHeight="1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</row>
    <row r="264" ht="15.75" customHeight="1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</row>
    <row r="265" ht="15.75" customHeight="1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</row>
    <row r="266" ht="15.75" customHeight="1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</row>
    <row r="267" ht="15.75" customHeight="1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</row>
    <row r="268" ht="15.75" customHeight="1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</row>
    <row r="269" ht="15.75" customHeight="1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</row>
    <row r="270" ht="15.75" customHeight="1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</row>
    <row r="271" ht="15.75" customHeight="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</row>
    <row r="272" ht="15.75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</row>
    <row r="273" ht="15.75" customHeight="1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</row>
    <row r="274" ht="15.75" customHeight="1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</row>
    <row r="275" ht="15.75" customHeight="1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</row>
    <row r="276" ht="15.75" customHeight="1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</row>
    <row r="277" ht="15.75" customHeight="1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</row>
    <row r="278" ht="15.75" customHeight="1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</row>
    <row r="279" ht="15.75" customHeight="1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</row>
    <row r="280" ht="15.75" customHeight="1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</row>
    <row r="281" ht="15.75" customHeight="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</row>
    <row r="282" ht="15.75" customHeight="1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</row>
    <row r="283" ht="15.75" customHeight="1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</row>
    <row r="284" ht="15.75" customHeight="1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</row>
    <row r="285" ht="15.75" customHeight="1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</row>
    <row r="286" ht="15.75" customHeight="1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</row>
    <row r="287" ht="15.75" customHeight="1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</row>
    <row r="288" ht="15.75" customHeight="1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</row>
    <row r="289" ht="15.75" customHeight="1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</row>
    <row r="290" ht="15.75" customHeight="1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</row>
    <row r="291" ht="15.75" customHeight="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</row>
    <row r="292" ht="15.75" customHeight="1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</row>
    <row r="293" ht="15.75" customHeight="1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</row>
    <row r="294" ht="15.75" customHeight="1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</row>
    <row r="295" ht="15.75" customHeight="1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</row>
    <row r="296" ht="15.75" customHeight="1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</row>
    <row r="297" ht="15.75" customHeight="1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</row>
    <row r="298" ht="15.75" customHeight="1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</row>
    <row r="299" ht="15.75" customHeight="1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</row>
    <row r="300" ht="15.75" customHeight="1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</row>
    <row r="301" ht="15.75" customHeight="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</row>
    <row r="302" ht="15.75" customHeight="1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</row>
    <row r="303" ht="15.75" customHeight="1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</row>
    <row r="304" ht="15.75" customHeight="1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</row>
    <row r="305" ht="15.75" customHeight="1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</row>
    <row r="306" ht="15.75" customHeight="1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</row>
    <row r="307" ht="15.75" customHeight="1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</row>
    <row r="308" ht="15.75" customHeight="1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</row>
    <row r="309" ht="15.75" customHeight="1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</row>
    <row r="310" ht="15.75" customHeight="1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</row>
    <row r="311" ht="15.75" customHeight="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</row>
    <row r="312" ht="15.75" customHeight="1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</row>
    <row r="313" ht="15.75" customHeight="1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</row>
    <row r="314" ht="15.75" customHeight="1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</row>
    <row r="315" ht="15.75" customHeight="1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</row>
    <row r="316" ht="15.75" customHeight="1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</row>
    <row r="317" ht="15.75" customHeight="1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</row>
    <row r="318" ht="15.75" customHeight="1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</row>
    <row r="319" ht="15.75" customHeight="1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</row>
    <row r="320" ht="15.75" customHeight="1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</row>
    <row r="321" ht="15.75" customHeight="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</row>
    <row r="322" ht="15.75" customHeight="1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</row>
    <row r="323" ht="15.75" customHeight="1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</row>
    <row r="324" ht="15.75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</row>
    <row r="325" ht="15.75" customHeight="1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</row>
    <row r="326" ht="15.75" customHeight="1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</row>
    <row r="327" ht="15.75" customHeight="1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</row>
    <row r="328" ht="15.75" customHeight="1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</row>
    <row r="329" ht="15.75" customHeight="1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</row>
    <row r="330" ht="15.75" customHeight="1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</row>
    <row r="331" ht="15.75" customHeight="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</row>
    <row r="332" ht="15.75" customHeight="1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</row>
    <row r="333" ht="15.75" customHeight="1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</row>
    <row r="334" ht="15.75" customHeight="1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</row>
    <row r="335" ht="15.75" customHeight="1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</row>
    <row r="336" ht="15.75" customHeight="1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</row>
    <row r="337" ht="15.75" customHeight="1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</row>
    <row r="338" ht="15.75" customHeight="1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</row>
    <row r="339" ht="15.75" customHeight="1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</row>
    <row r="340" ht="15.75" customHeight="1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</row>
    <row r="341" ht="15.75" customHeight="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</row>
    <row r="342" ht="15.75" customHeight="1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</row>
    <row r="343" ht="15.75" customHeight="1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</row>
    <row r="344" ht="15.75" customHeight="1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</row>
    <row r="345" ht="15.75" customHeight="1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</row>
    <row r="346" ht="15.75" customHeight="1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</row>
    <row r="347" ht="15.75" customHeight="1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</row>
    <row r="348" ht="15.75" customHeight="1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</row>
    <row r="349" ht="15.75" customHeight="1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</row>
    <row r="350" ht="15.75" customHeight="1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</row>
    <row r="351" ht="15.75" customHeight="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</row>
    <row r="352" ht="15.75" customHeight="1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</row>
    <row r="353" ht="15.75" customHeight="1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</row>
    <row r="354" ht="15.75" customHeight="1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</row>
    <row r="355" ht="15.75" customHeight="1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</row>
    <row r="356" ht="15.75" customHeight="1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</row>
    <row r="357" ht="15.75" customHeight="1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</row>
    <row r="358" ht="15.75" customHeight="1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</row>
    <row r="359" ht="15.75" customHeight="1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</row>
    <row r="360" ht="15.75" customHeight="1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</row>
    <row r="361" ht="15.75" customHeight="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</row>
    <row r="362" ht="15.75" customHeight="1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</row>
    <row r="363" ht="15.75" customHeight="1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</row>
    <row r="364" ht="15.75" customHeight="1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</row>
    <row r="365" ht="15.75" customHeight="1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</row>
    <row r="366" ht="15.75" customHeight="1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</row>
    <row r="367" ht="15.75" customHeight="1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</row>
    <row r="368" ht="15.75" customHeight="1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</row>
    <row r="369" ht="15.75" customHeight="1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</row>
    <row r="370" ht="15.75" customHeight="1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</row>
    <row r="371" ht="15.75" customHeight="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</row>
    <row r="372" ht="15.75" customHeight="1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</row>
    <row r="373" ht="15.75" customHeight="1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</row>
    <row r="374" ht="15.75" customHeight="1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</row>
    <row r="375" ht="15.75" customHeight="1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</row>
    <row r="376" ht="15.75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</row>
    <row r="377" ht="15.75" customHeight="1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</row>
    <row r="378" ht="15.75" customHeight="1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</row>
    <row r="379" ht="15.75" customHeight="1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</row>
    <row r="380" ht="15.75" customHeight="1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</row>
    <row r="381" ht="15.75" customHeight="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</row>
    <row r="382" ht="15.75" customHeight="1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</row>
    <row r="383" ht="15.75" customHeight="1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</row>
    <row r="384" ht="15.75" customHeight="1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</row>
    <row r="385" ht="15.75" customHeight="1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</row>
    <row r="386" ht="15.75" customHeight="1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</row>
    <row r="387" ht="15.75" customHeight="1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</row>
    <row r="388" ht="15.75" customHeight="1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</row>
    <row r="389" ht="15.75" customHeight="1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</row>
    <row r="390" ht="15.75" customHeight="1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</row>
    <row r="391" ht="15.75" customHeight="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</row>
    <row r="392" ht="15.75" customHeight="1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</row>
    <row r="393" ht="15.75" customHeight="1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</row>
    <row r="394" ht="15.75" customHeight="1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</row>
    <row r="395" ht="15.75" customHeight="1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</row>
    <row r="396" ht="15.75" customHeight="1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</row>
    <row r="397" ht="15.75" customHeight="1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</row>
    <row r="398" ht="15.75" customHeight="1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</row>
    <row r="399" ht="15.75" customHeight="1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</row>
    <row r="400" ht="15.75" customHeight="1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</row>
    <row r="401" ht="15.75" customHeight="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</row>
    <row r="402" ht="15.75" customHeight="1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</row>
    <row r="403" ht="15.75" customHeight="1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</row>
    <row r="404" ht="15.75" customHeight="1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</row>
    <row r="405" ht="15.75" customHeight="1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</row>
    <row r="406" ht="15.75" customHeight="1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</row>
    <row r="407" ht="15.75" customHeight="1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</row>
    <row r="408" ht="15.75" customHeight="1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</row>
    <row r="409" ht="15.75" customHeight="1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</row>
    <row r="410" ht="15.75" customHeight="1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</row>
    <row r="411" ht="15.75" customHeight="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</row>
    <row r="412" ht="15.75" customHeight="1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</row>
    <row r="413" ht="15.75" customHeight="1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</row>
    <row r="414" ht="15.75" customHeight="1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</row>
    <row r="415" ht="15.75" customHeight="1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</row>
    <row r="416" ht="15.75" customHeight="1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</row>
    <row r="417" ht="15.75" customHeight="1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</row>
    <row r="418" ht="15.75" customHeight="1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</row>
    <row r="419" ht="15.75" customHeight="1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</row>
    <row r="420" ht="15.75" customHeight="1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</row>
    <row r="421" ht="15.75" customHeight="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</row>
    <row r="422" ht="15.75" customHeight="1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</row>
    <row r="423" ht="15.75" customHeight="1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</row>
    <row r="424" ht="15.75" customHeight="1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</row>
    <row r="425" ht="15.75" customHeight="1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</row>
    <row r="426" ht="15.75" customHeight="1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</row>
    <row r="427" ht="15.75" customHeight="1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</row>
    <row r="428" ht="15.75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</row>
    <row r="429" ht="15.75" customHeight="1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</row>
    <row r="430" ht="15.75" customHeight="1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</row>
    <row r="431" ht="15.75" customHeight="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</row>
    <row r="432" ht="15.75" customHeight="1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</row>
    <row r="433" ht="15.75" customHeight="1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</row>
    <row r="434" ht="15.75" customHeight="1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</row>
    <row r="435" ht="15.75" customHeight="1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</row>
    <row r="436" ht="15.75" customHeight="1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</row>
    <row r="437" ht="15.75" customHeight="1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</row>
    <row r="438" ht="15.75" customHeight="1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</row>
    <row r="439" ht="15.75" customHeight="1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</row>
    <row r="440" ht="15.75" customHeight="1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</row>
    <row r="441" ht="15.75" customHeight="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</row>
    <row r="442" ht="15.75" customHeight="1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</row>
    <row r="443" ht="15.75" customHeight="1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</row>
    <row r="444" ht="15.75" customHeight="1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</row>
    <row r="445" ht="15.75" customHeight="1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</row>
    <row r="446" ht="15.75" customHeight="1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</row>
    <row r="447" ht="15.75" customHeight="1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</row>
    <row r="448" ht="15.75" customHeight="1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</row>
    <row r="449" ht="15.75" customHeight="1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</row>
    <row r="450" ht="15.75" customHeight="1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</row>
    <row r="451" ht="15.75" customHeight="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</row>
    <row r="452" ht="15.75" customHeight="1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</row>
    <row r="453" ht="15.75" customHeight="1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</row>
    <row r="454" ht="15.75" customHeight="1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</row>
    <row r="455" ht="15.75" customHeight="1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</row>
    <row r="456" ht="15.75" customHeight="1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</row>
    <row r="457" ht="15.75" customHeight="1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</row>
    <row r="458" ht="15.75" customHeight="1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</row>
    <row r="459" ht="15.75" customHeight="1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</row>
    <row r="460" ht="15.75" customHeight="1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</row>
    <row r="461" ht="15.75" customHeight="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</row>
    <row r="462" ht="15.75" customHeight="1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</row>
    <row r="463" ht="15.75" customHeight="1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</row>
    <row r="464" ht="15.75" customHeight="1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</row>
    <row r="465" ht="15.75" customHeight="1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</row>
    <row r="466" ht="15.75" customHeight="1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</row>
    <row r="467" ht="15.75" customHeight="1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</row>
    <row r="468" ht="15.75" customHeight="1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</row>
    <row r="469" ht="15.75" customHeight="1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</row>
    <row r="470" ht="15.75" customHeight="1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</row>
    <row r="471" ht="15.75" customHeight="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</row>
    <row r="472" ht="15.75" customHeight="1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</row>
    <row r="473" ht="15.75" customHeight="1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</row>
    <row r="474" ht="15.75" customHeight="1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</row>
    <row r="475" ht="15.75" customHeight="1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</row>
    <row r="476" ht="15.75" customHeight="1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</row>
    <row r="477" ht="15.75" customHeight="1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</row>
    <row r="478" ht="15.75" customHeight="1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</row>
    <row r="479" ht="15.75" customHeight="1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</row>
    <row r="480" ht="15.75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</row>
    <row r="481" ht="15.75" customHeight="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</row>
    <row r="482" ht="15.75" customHeight="1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</row>
    <row r="483" ht="15.75" customHeight="1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</row>
    <row r="484" ht="15.75" customHeight="1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</row>
    <row r="485" ht="15.75" customHeight="1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</row>
    <row r="486" ht="15.75" customHeight="1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</row>
    <row r="487" ht="15.75" customHeight="1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</row>
    <row r="488" ht="15.75" customHeight="1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</row>
    <row r="489" ht="15.75" customHeight="1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</row>
    <row r="490" ht="15.75" customHeight="1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</row>
    <row r="491" ht="15.75" customHeight="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</row>
    <row r="492" ht="15.75" customHeight="1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</row>
    <row r="493" ht="15.75" customHeight="1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</row>
    <row r="494" ht="15.75" customHeight="1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</row>
    <row r="495" ht="15.75" customHeight="1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</row>
    <row r="496" ht="15.75" customHeight="1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</row>
    <row r="497" ht="15.75" customHeight="1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</row>
    <row r="498" ht="15.75" customHeight="1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</row>
    <row r="499" ht="15.75" customHeight="1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</row>
    <row r="500" ht="15.75" customHeight="1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17"/>
      <c r="AG500" s="17"/>
    </row>
    <row r="501" ht="15.75" customHeight="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  <c r="AF501" s="17"/>
      <c r="AG501" s="17"/>
    </row>
    <row r="502" ht="15.75" customHeight="1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17"/>
      <c r="AG502" s="17"/>
    </row>
    <row r="503" ht="15.75" customHeight="1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17"/>
      <c r="AG503" s="17"/>
    </row>
    <row r="504" ht="15.75" customHeight="1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  <c r="AF504" s="17"/>
      <c r="AG504" s="17"/>
    </row>
    <row r="505" ht="15.75" customHeight="1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17"/>
      <c r="AG505" s="17"/>
    </row>
    <row r="506" ht="15.75" customHeight="1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17"/>
      <c r="AG506" s="17"/>
    </row>
    <row r="507" ht="15.75" customHeight="1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  <c r="AF507" s="17"/>
      <c r="AG507" s="17"/>
    </row>
    <row r="508" ht="15.75" customHeight="1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  <c r="AG508" s="17"/>
    </row>
    <row r="509" ht="15.75" customHeight="1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  <c r="AG509" s="17"/>
    </row>
    <row r="510" ht="15.75" customHeight="1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17"/>
      <c r="AG510" s="17"/>
    </row>
    <row r="511" ht="15.75" customHeight="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  <c r="AF511" s="17"/>
      <c r="AG511" s="17"/>
    </row>
    <row r="512" ht="15.75" customHeight="1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17"/>
      <c r="AG512" s="17"/>
    </row>
    <row r="513" ht="15.75" customHeight="1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17"/>
      <c r="AG513" s="17"/>
    </row>
    <row r="514" ht="15.75" customHeight="1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17"/>
      <c r="AG514" s="17"/>
    </row>
    <row r="515" ht="15.75" customHeight="1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17"/>
      <c r="AG515" s="17"/>
    </row>
    <row r="516" ht="15.75" customHeight="1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17"/>
      <c r="AG516" s="17"/>
    </row>
    <row r="517" ht="15.75" customHeight="1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17"/>
      <c r="AG517" s="17"/>
    </row>
    <row r="518" ht="15.75" customHeight="1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17"/>
      <c r="AG518" s="17"/>
    </row>
    <row r="519" ht="15.75" customHeight="1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17"/>
      <c r="AG519" s="17"/>
    </row>
    <row r="520" ht="15.75" customHeight="1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17"/>
      <c r="AG520" s="17"/>
    </row>
    <row r="521" ht="15.75" customHeight="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17"/>
      <c r="AG521" s="17"/>
    </row>
    <row r="522" ht="15.75" customHeight="1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17"/>
      <c r="AG522" s="17"/>
    </row>
    <row r="523" ht="15.75" customHeight="1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  <c r="AF523" s="17"/>
      <c r="AG523" s="17"/>
    </row>
    <row r="524" ht="15.75" customHeight="1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17"/>
      <c r="AG524" s="17"/>
    </row>
    <row r="525" ht="15.75" customHeight="1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  <c r="AF525" s="17"/>
      <c r="AG525" s="17"/>
    </row>
    <row r="526" ht="15.75" customHeight="1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  <c r="AF526" s="17"/>
      <c r="AG526" s="17"/>
    </row>
    <row r="527" ht="15.75" customHeight="1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  <c r="AF527" s="17"/>
      <c r="AG527" s="17"/>
    </row>
    <row r="528" ht="15.75" customHeight="1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17"/>
      <c r="AG528" s="17"/>
    </row>
    <row r="529" ht="15.75" customHeight="1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  <c r="AF529" s="17"/>
      <c r="AG529" s="17"/>
    </row>
    <row r="530" ht="15.75" customHeight="1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17"/>
      <c r="AG530" s="17"/>
    </row>
    <row r="531" ht="15.75" customHeight="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  <c r="AF531" s="17"/>
      <c r="AG531" s="17"/>
    </row>
    <row r="532" ht="15.75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  <c r="AG532" s="17"/>
    </row>
    <row r="533" ht="15.75" customHeight="1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17"/>
      <c r="AG533" s="17"/>
    </row>
    <row r="534" ht="15.75" customHeight="1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17"/>
      <c r="AG534" s="17"/>
    </row>
    <row r="535" ht="15.75" customHeight="1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  <c r="AF535" s="17"/>
      <c r="AG535" s="17"/>
    </row>
    <row r="536" ht="15.75" customHeight="1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17"/>
      <c r="AG536" s="17"/>
    </row>
    <row r="537" ht="15.75" customHeight="1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  <c r="AF537" s="17"/>
      <c r="AG537" s="17"/>
    </row>
    <row r="538" ht="15.75" customHeight="1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  <c r="AG538" s="17"/>
    </row>
    <row r="539" ht="15.75" customHeight="1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17"/>
      <c r="AG539" s="17"/>
    </row>
    <row r="540" ht="15.75" customHeight="1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17"/>
      <c r="AG540" s="17"/>
    </row>
    <row r="541" ht="15.75" customHeight="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  <c r="AF541" s="17"/>
      <c r="AG541" s="17"/>
    </row>
    <row r="542" ht="15.75" customHeight="1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17"/>
      <c r="AG542" s="17"/>
    </row>
    <row r="543" ht="15.75" customHeight="1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17"/>
      <c r="AG543" s="17"/>
    </row>
    <row r="544" ht="15.75" customHeight="1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  <c r="AF544" s="17"/>
      <c r="AG544" s="17"/>
    </row>
    <row r="545" ht="15.75" customHeight="1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  <c r="AF545" s="17"/>
      <c r="AG545" s="17"/>
    </row>
    <row r="546" ht="15.75" customHeight="1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  <c r="AF546" s="17"/>
      <c r="AG546" s="17"/>
    </row>
    <row r="547" ht="15.75" customHeight="1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  <c r="AF547" s="17"/>
      <c r="AG547" s="17"/>
    </row>
    <row r="548" ht="15.75" customHeight="1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17"/>
      <c r="AG548" s="17"/>
    </row>
    <row r="549" ht="15.75" customHeight="1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  <c r="AF549" s="17"/>
      <c r="AG549" s="17"/>
    </row>
    <row r="550" ht="15.75" customHeight="1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17"/>
      <c r="AG550" s="17"/>
    </row>
    <row r="551" ht="15.75" customHeight="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17"/>
      <c r="AG551" s="17"/>
    </row>
    <row r="552" ht="15.75" customHeight="1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17"/>
      <c r="AG552" s="17"/>
    </row>
    <row r="553" ht="15.75" customHeight="1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17"/>
      <c r="AG553" s="17"/>
    </row>
    <row r="554" ht="15.75" customHeight="1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17"/>
      <c r="AG554" s="17"/>
    </row>
    <row r="555" ht="15.75" customHeight="1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  <c r="AF555" s="17"/>
      <c r="AG555" s="17"/>
    </row>
    <row r="556" ht="15.75" customHeight="1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17"/>
      <c r="AG556" s="17"/>
    </row>
    <row r="557" ht="15.75" customHeight="1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17"/>
      <c r="AG557" s="17"/>
    </row>
    <row r="558" ht="15.75" customHeight="1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17"/>
      <c r="AG558" s="17"/>
    </row>
    <row r="559" ht="15.75" customHeight="1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17"/>
      <c r="AG559" s="17"/>
    </row>
    <row r="560" ht="15.75" customHeight="1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  <c r="AF560" s="17"/>
      <c r="AG560" s="17"/>
    </row>
    <row r="561" ht="15.75" customHeight="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  <c r="AF561" s="17"/>
      <c r="AG561" s="17"/>
    </row>
    <row r="562" ht="15.75" customHeight="1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17"/>
      <c r="AG562" s="17"/>
    </row>
    <row r="563" ht="15.75" customHeight="1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  <c r="AG563" s="17"/>
    </row>
    <row r="564" ht="15.75" customHeight="1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  <c r="AG564" s="17"/>
    </row>
    <row r="565" ht="15.75" customHeight="1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  <c r="AF565" s="17"/>
      <c r="AG565" s="17"/>
    </row>
    <row r="566" ht="15.75" customHeight="1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17"/>
      <c r="AG566" s="17"/>
    </row>
    <row r="567" ht="15.75" customHeight="1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  <c r="AF567" s="17"/>
      <c r="AG567" s="17"/>
    </row>
    <row r="568" ht="15.75" customHeight="1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  <c r="AF568" s="17"/>
      <c r="AG568" s="17"/>
    </row>
    <row r="569" ht="15.75" customHeight="1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  <c r="AF569" s="17"/>
      <c r="AG569" s="17"/>
    </row>
    <row r="570" ht="15.75" customHeight="1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17"/>
      <c r="AG570" s="17"/>
    </row>
    <row r="571" ht="15.75" customHeight="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  <c r="AF571" s="17"/>
      <c r="AG571" s="17"/>
    </row>
    <row r="572" ht="15.75" customHeight="1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17"/>
      <c r="AG572" s="17"/>
    </row>
    <row r="573" ht="15.75" customHeight="1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  <c r="AF573" s="17"/>
      <c r="AG573" s="17"/>
    </row>
    <row r="574" ht="15.75" customHeight="1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17"/>
      <c r="AG574" s="17"/>
    </row>
    <row r="575" ht="15.75" customHeight="1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  <c r="AF575" s="17"/>
      <c r="AG575" s="17"/>
    </row>
    <row r="576" ht="15.75" customHeight="1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17"/>
      <c r="AG576" s="17"/>
    </row>
    <row r="577" ht="15.75" customHeight="1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  <c r="AF577" s="17"/>
      <c r="AG577" s="17"/>
    </row>
    <row r="578" ht="15.75" customHeight="1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  <c r="AF578" s="17"/>
      <c r="AG578" s="17"/>
    </row>
    <row r="579" ht="15.75" customHeight="1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  <c r="AF579" s="17"/>
      <c r="AG579" s="17"/>
    </row>
    <row r="580" ht="15.75" customHeight="1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  <c r="AF580" s="17"/>
      <c r="AG580" s="17"/>
    </row>
    <row r="581" ht="15.75" customHeight="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  <c r="AF581" s="17"/>
      <c r="AG581" s="17"/>
    </row>
    <row r="582" ht="15.75" customHeight="1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  <c r="AF582" s="17"/>
      <c r="AG582" s="17"/>
    </row>
    <row r="583" ht="15.75" customHeight="1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  <c r="AF583" s="17"/>
      <c r="AG583" s="17"/>
    </row>
    <row r="584" ht="15.75" customHeight="1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  <c r="AF584" s="17"/>
      <c r="AG584" s="17"/>
    </row>
    <row r="585" ht="15.75" customHeight="1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  <c r="AF585" s="17"/>
      <c r="AG585" s="17"/>
    </row>
    <row r="586" ht="15.75" customHeight="1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  <c r="AF586" s="17"/>
      <c r="AG586" s="17"/>
    </row>
    <row r="587" ht="15.75" customHeight="1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  <c r="AF587" s="17"/>
      <c r="AG587" s="17"/>
    </row>
    <row r="588" ht="15.75" customHeight="1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  <c r="AF588" s="17"/>
      <c r="AG588" s="17"/>
    </row>
    <row r="589" ht="15.75" customHeight="1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  <c r="AF589" s="17"/>
      <c r="AG589" s="17"/>
    </row>
    <row r="590" ht="15.75" customHeight="1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  <c r="AF590" s="17"/>
      <c r="AG590" s="17"/>
    </row>
    <row r="591" ht="15.75" customHeight="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  <c r="AF591" s="17"/>
      <c r="AG591" s="17"/>
    </row>
    <row r="592" ht="15.75" customHeight="1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17"/>
      <c r="AG592" s="17"/>
    </row>
    <row r="593" ht="15.75" customHeight="1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  <c r="AF593" s="17"/>
      <c r="AG593" s="17"/>
    </row>
    <row r="594" ht="15.75" customHeight="1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  <c r="AF594" s="17"/>
      <c r="AG594" s="17"/>
    </row>
    <row r="595" ht="15.75" customHeight="1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  <c r="AF595" s="17"/>
      <c r="AG595" s="17"/>
    </row>
    <row r="596" ht="15.75" customHeight="1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  <c r="AF596" s="17"/>
      <c r="AG596" s="17"/>
    </row>
    <row r="597" ht="15.75" customHeight="1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  <c r="AF597" s="17"/>
      <c r="AG597" s="17"/>
    </row>
    <row r="598" ht="15.75" customHeight="1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  <c r="AF598" s="17"/>
      <c r="AG598" s="17"/>
    </row>
    <row r="599" ht="15.75" customHeight="1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  <c r="AF599" s="17"/>
      <c r="AG599" s="17"/>
    </row>
    <row r="600" ht="15.75" customHeight="1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  <c r="AF600" s="17"/>
      <c r="AG600" s="17"/>
    </row>
    <row r="601" ht="15.75" customHeight="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  <c r="AF601" s="17"/>
      <c r="AG601" s="17"/>
    </row>
    <row r="602" ht="15.75" customHeight="1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  <c r="AF602" s="17"/>
      <c r="AG602" s="17"/>
    </row>
    <row r="603" ht="15.75" customHeight="1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  <c r="AF603" s="17"/>
      <c r="AG603" s="17"/>
    </row>
    <row r="604" ht="15.75" customHeight="1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  <c r="AF604" s="17"/>
      <c r="AG604" s="17"/>
    </row>
    <row r="605" ht="15.75" customHeight="1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  <c r="AF605" s="17"/>
      <c r="AG605" s="17"/>
    </row>
    <row r="606" ht="15.75" customHeight="1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  <c r="AF606" s="17"/>
      <c r="AG606" s="17"/>
    </row>
    <row r="607" ht="15.75" customHeight="1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  <c r="AF607" s="17"/>
      <c r="AG607" s="17"/>
    </row>
    <row r="608" ht="15.75" customHeight="1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  <c r="AF608" s="17"/>
      <c r="AG608" s="17"/>
    </row>
    <row r="609" ht="15.75" customHeight="1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  <c r="AF609" s="17"/>
      <c r="AG609" s="17"/>
    </row>
    <row r="610" ht="15.75" customHeight="1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  <c r="AF610" s="17"/>
      <c r="AG610" s="17"/>
    </row>
    <row r="611" ht="15.75" customHeight="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  <c r="AF611" s="17"/>
      <c r="AG611" s="17"/>
    </row>
    <row r="612" ht="15.75" customHeight="1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  <c r="AF612" s="17"/>
      <c r="AG612" s="17"/>
    </row>
    <row r="613" ht="15.75" customHeight="1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  <c r="AF613" s="17"/>
      <c r="AG613" s="17"/>
    </row>
    <row r="614" ht="15.75" customHeight="1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  <c r="AF614" s="17"/>
      <c r="AG614" s="17"/>
    </row>
    <row r="615" ht="15.75" customHeight="1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  <c r="AF615" s="17"/>
      <c r="AG615" s="17"/>
    </row>
    <row r="616" ht="15.75" customHeight="1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  <c r="AF616" s="17"/>
      <c r="AG616" s="17"/>
    </row>
    <row r="617" ht="15.75" customHeight="1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  <c r="AF617" s="17"/>
      <c r="AG617" s="17"/>
    </row>
    <row r="618" ht="15.75" customHeight="1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  <c r="AF618" s="17"/>
      <c r="AG618" s="17"/>
    </row>
    <row r="619" ht="15.75" customHeight="1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  <c r="AF619" s="17"/>
      <c r="AG619" s="17"/>
    </row>
    <row r="620" ht="15.75" customHeight="1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  <c r="AF620" s="17"/>
      <c r="AG620" s="17"/>
    </row>
    <row r="621" ht="15.75" customHeight="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  <c r="AF621" s="17"/>
      <c r="AG621" s="17"/>
    </row>
    <row r="622" ht="15.75" customHeight="1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  <c r="AF622" s="17"/>
      <c r="AG622" s="17"/>
    </row>
    <row r="623" ht="15.75" customHeight="1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  <c r="AF623" s="17"/>
      <c r="AG623" s="17"/>
    </row>
    <row r="624" ht="15.75" customHeight="1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  <c r="AF624" s="17"/>
      <c r="AG624" s="17"/>
    </row>
    <row r="625" ht="15.75" customHeight="1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  <c r="AF625" s="17"/>
      <c r="AG625" s="17"/>
    </row>
    <row r="626" ht="15.75" customHeight="1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  <c r="AF626" s="17"/>
      <c r="AG626" s="17"/>
    </row>
    <row r="627" ht="15.75" customHeight="1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  <c r="AF627" s="17"/>
      <c r="AG627" s="17"/>
    </row>
    <row r="628" ht="15.75" customHeight="1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  <c r="AF628" s="17"/>
      <c r="AG628" s="17"/>
    </row>
    <row r="629" ht="15.75" customHeight="1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  <c r="AF629" s="17"/>
      <c r="AG629" s="17"/>
    </row>
    <row r="630" ht="15.75" customHeight="1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  <c r="AF630" s="17"/>
      <c r="AG630" s="17"/>
    </row>
    <row r="631" ht="15.75" customHeight="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  <c r="AF631" s="17"/>
      <c r="AG631" s="17"/>
    </row>
    <row r="632" ht="15.75" customHeight="1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  <c r="AF632" s="17"/>
      <c r="AG632" s="17"/>
    </row>
    <row r="633" ht="15.75" customHeight="1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  <c r="AF633" s="17"/>
      <c r="AG633" s="17"/>
    </row>
    <row r="634" ht="15.75" customHeight="1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  <c r="AF634" s="17"/>
      <c r="AG634" s="17"/>
    </row>
    <row r="635" ht="15.75" customHeight="1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  <c r="AF635" s="17"/>
      <c r="AG635" s="17"/>
    </row>
    <row r="636" ht="15.75" customHeight="1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  <c r="AF636" s="17"/>
      <c r="AG636" s="17"/>
    </row>
    <row r="637" ht="15.75" customHeight="1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  <c r="AF637" s="17"/>
      <c r="AG637" s="17"/>
    </row>
    <row r="638" ht="15.75" customHeight="1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  <c r="AF638" s="17"/>
      <c r="AG638" s="17"/>
    </row>
    <row r="639" ht="15.75" customHeight="1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  <c r="AF639" s="17"/>
      <c r="AG639" s="17"/>
    </row>
    <row r="640" ht="15.75" customHeight="1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  <c r="AF640" s="17"/>
      <c r="AG640" s="17"/>
    </row>
    <row r="641" ht="15.75" customHeight="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  <c r="AF641" s="17"/>
      <c r="AG641" s="17"/>
    </row>
    <row r="642" ht="15.75" customHeight="1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  <c r="AF642" s="17"/>
      <c r="AG642" s="17"/>
    </row>
    <row r="643" ht="15.75" customHeight="1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  <c r="AF643" s="17"/>
      <c r="AG643" s="17"/>
    </row>
    <row r="644" ht="15.75" customHeight="1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  <c r="AF644" s="17"/>
      <c r="AG644" s="17"/>
    </row>
    <row r="645" ht="15.75" customHeight="1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  <c r="AF645" s="17"/>
      <c r="AG645" s="17"/>
    </row>
    <row r="646" ht="15.75" customHeight="1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  <c r="AF646" s="17"/>
      <c r="AG646" s="17"/>
    </row>
    <row r="647" ht="15.75" customHeight="1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  <c r="AF647" s="17"/>
      <c r="AG647" s="17"/>
    </row>
    <row r="648" ht="15.75" customHeight="1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  <c r="AF648" s="17"/>
      <c r="AG648" s="17"/>
    </row>
    <row r="649" ht="15.75" customHeight="1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  <c r="AF649" s="17"/>
      <c r="AG649" s="17"/>
    </row>
    <row r="650" ht="15.75" customHeight="1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  <c r="AF650" s="17"/>
      <c r="AG650" s="17"/>
    </row>
    <row r="651" ht="15.75" customHeight="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  <c r="AF651" s="17"/>
      <c r="AG651" s="17"/>
    </row>
    <row r="652" ht="15.75" customHeight="1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</row>
    <row r="653" ht="15.75" customHeight="1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</row>
    <row r="654" ht="15.75" customHeight="1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</row>
    <row r="655" ht="15.75" customHeight="1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</row>
    <row r="656" ht="15.75" customHeight="1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</row>
    <row r="657" ht="15.75" customHeight="1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</row>
    <row r="658" ht="15.75" customHeight="1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</row>
    <row r="659" ht="15.75" customHeight="1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</row>
    <row r="660" ht="15.75" customHeight="1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</row>
    <row r="661" ht="15.75" customHeight="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</row>
    <row r="662" ht="15.75" customHeight="1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</row>
    <row r="663" ht="15.75" customHeight="1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</row>
    <row r="664" ht="15.75" customHeight="1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</row>
    <row r="665" ht="15.75" customHeight="1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</row>
    <row r="666" ht="15.75" customHeight="1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</row>
    <row r="667" ht="15.75" customHeight="1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</row>
    <row r="668" ht="15.75" customHeight="1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</row>
    <row r="669" ht="15.75" customHeight="1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</row>
    <row r="670" ht="15.75" customHeight="1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</row>
    <row r="671" ht="15.75" customHeight="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</row>
    <row r="672" ht="15.75" customHeight="1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</row>
    <row r="673" ht="15.75" customHeight="1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</row>
    <row r="674" ht="15.75" customHeight="1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</row>
    <row r="675" ht="15.75" customHeight="1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</row>
    <row r="676" ht="15.75" customHeight="1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</row>
    <row r="677" ht="15.75" customHeight="1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</row>
    <row r="678" ht="15.75" customHeight="1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</row>
    <row r="679" ht="15.75" customHeight="1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</row>
    <row r="680" ht="15.75" customHeight="1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</row>
    <row r="681" ht="15.75" customHeight="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</row>
    <row r="682" ht="15.75" customHeight="1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</row>
    <row r="683" ht="15.75" customHeight="1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</row>
    <row r="684" ht="15.75" customHeight="1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</row>
    <row r="685" ht="15.75" customHeight="1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</row>
    <row r="686" ht="15.75" customHeight="1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</row>
    <row r="687" ht="15.75" customHeight="1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</row>
    <row r="688" ht="15.75" customHeight="1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</row>
    <row r="689" ht="15.75" customHeight="1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</row>
    <row r="690" ht="15.75" customHeight="1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</row>
    <row r="691" ht="15.75" customHeight="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</row>
    <row r="692" ht="15.75" customHeight="1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</row>
    <row r="693" ht="15.75" customHeight="1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</row>
    <row r="694" ht="15.75" customHeight="1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</row>
    <row r="695" ht="15.75" customHeight="1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</row>
    <row r="696" ht="15.75" customHeight="1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</row>
    <row r="697" ht="15.75" customHeight="1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</row>
    <row r="698" ht="15.75" customHeight="1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</row>
    <row r="699" ht="15.75" customHeight="1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</row>
    <row r="700" ht="15.75" customHeight="1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</row>
    <row r="701" ht="15.75" customHeight="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</row>
    <row r="702" ht="15.75" customHeight="1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</row>
    <row r="703" ht="15.75" customHeight="1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</row>
    <row r="704" ht="15.75" customHeight="1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</row>
    <row r="705" ht="15.75" customHeight="1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</row>
    <row r="706" ht="15.75" customHeight="1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</row>
    <row r="707" ht="15.75" customHeight="1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</row>
    <row r="708" ht="15.75" customHeight="1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</row>
    <row r="709" ht="15.75" customHeight="1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</row>
    <row r="710" ht="15.75" customHeight="1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</row>
    <row r="711" ht="15.75" customHeight="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</row>
    <row r="712" ht="15.75" customHeight="1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</row>
    <row r="713" ht="15.75" customHeight="1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</row>
    <row r="714" ht="15.75" customHeight="1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</row>
    <row r="715" ht="15.75" customHeight="1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</row>
    <row r="716" ht="15.75" customHeight="1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</row>
    <row r="717" ht="15.75" customHeight="1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</row>
    <row r="718" ht="15.75" customHeight="1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</row>
    <row r="719" ht="15.75" customHeight="1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</row>
    <row r="720" ht="15.75" customHeight="1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</row>
    <row r="721" ht="15.75" customHeight="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</row>
    <row r="722" ht="15.75" customHeight="1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</row>
    <row r="723" ht="15.75" customHeight="1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</row>
    <row r="724" ht="15.75" customHeight="1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</row>
    <row r="725" ht="15.75" customHeight="1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</row>
    <row r="726" ht="15.75" customHeight="1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</row>
    <row r="727" ht="15.75" customHeight="1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</row>
    <row r="728" ht="15.75" customHeight="1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</row>
    <row r="729" ht="15.75" customHeight="1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</row>
    <row r="730" ht="15.75" customHeight="1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</row>
    <row r="731" ht="15.75" customHeight="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</row>
    <row r="732" ht="15.75" customHeight="1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</row>
    <row r="733" ht="15.75" customHeight="1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</row>
    <row r="734" ht="15.75" customHeight="1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</row>
    <row r="735" ht="15.75" customHeight="1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</row>
    <row r="736" ht="15.75" customHeight="1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</row>
    <row r="737" ht="15.75" customHeight="1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</row>
    <row r="738" ht="15.75" customHeight="1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</row>
    <row r="739" ht="15.75" customHeight="1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</row>
    <row r="740" ht="15.75" customHeight="1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</row>
    <row r="741" ht="15.75" customHeight="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</row>
    <row r="742" ht="15.75" customHeight="1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</row>
    <row r="743" ht="15.75" customHeight="1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</row>
    <row r="744" ht="15.75" customHeight="1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</row>
    <row r="745" ht="15.75" customHeight="1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</row>
    <row r="746" ht="15.75" customHeight="1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</row>
    <row r="747" ht="15.75" customHeight="1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</row>
    <row r="748" ht="15.75" customHeight="1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</row>
    <row r="749" ht="15.75" customHeight="1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</row>
    <row r="750" ht="15.75" customHeight="1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</row>
    <row r="751" ht="15.75" customHeight="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</row>
    <row r="752" ht="15.75" customHeight="1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</row>
    <row r="753" ht="15.75" customHeight="1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</row>
    <row r="754" ht="15.75" customHeight="1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</row>
    <row r="755" ht="15.75" customHeight="1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</row>
    <row r="756" ht="15.75" customHeight="1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</row>
    <row r="757" ht="15.75" customHeight="1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</row>
    <row r="758" ht="15.75" customHeight="1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</row>
    <row r="759" ht="15.75" customHeight="1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</row>
    <row r="760" ht="15.75" customHeight="1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</row>
    <row r="761" ht="15.75" customHeight="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</row>
    <row r="762" ht="15.75" customHeight="1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</row>
    <row r="763" ht="15.75" customHeight="1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</row>
    <row r="764" ht="15.75" customHeight="1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</row>
    <row r="765" ht="15.75" customHeight="1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</row>
    <row r="766" ht="15.75" customHeight="1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</row>
    <row r="767" ht="15.75" customHeight="1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</row>
    <row r="768" ht="15.75" customHeight="1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</row>
    <row r="769" ht="15.75" customHeight="1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</row>
    <row r="770" ht="15.75" customHeight="1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</row>
    <row r="771" ht="15.75" customHeight="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</row>
    <row r="772" ht="15.75" customHeight="1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</row>
    <row r="773" ht="15.75" customHeight="1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</row>
    <row r="774" ht="15.75" customHeight="1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</row>
    <row r="775" ht="15.75" customHeight="1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</row>
    <row r="776" ht="15.75" customHeight="1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</row>
    <row r="777" ht="15.75" customHeight="1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</row>
    <row r="778" ht="15.75" customHeight="1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</row>
    <row r="779" ht="15.75" customHeight="1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</row>
    <row r="780" ht="15.75" customHeight="1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</row>
    <row r="781" ht="15.75" customHeight="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</row>
    <row r="782" ht="15.75" customHeight="1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</row>
    <row r="783" ht="15.75" customHeight="1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</row>
    <row r="784" ht="15.75" customHeight="1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</row>
    <row r="785" ht="15.75" customHeight="1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</row>
    <row r="786" ht="15.75" customHeight="1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</row>
    <row r="787" ht="15.75" customHeight="1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</row>
    <row r="788" ht="15.75" customHeight="1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</row>
    <row r="789" ht="15.75" customHeight="1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</row>
    <row r="790" ht="15.75" customHeight="1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</row>
    <row r="791" ht="15.75" customHeight="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</row>
    <row r="792" ht="15.75" customHeight="1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</row>
    <row r="793" ht="15.75" customHeight="1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</row>
    <row r="794" ht="15.75" customHeight="1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</row>
    <row r="795" ht="15.75" customHeight="1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</row>
    <row r="796" ht="15.75" customHeight="1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</row>
    <row r="797" ht="15.75" customHeight="1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</row>
    <row r="798" ht="15.75" customHeight="1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</row>
    <row r="799" ht="15.75" customHeight="1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</row>
    <row r="800" ht="15.75" customHeight="1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</row>
    <row r="801" ht="15.75" customHeight="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</row>
    <row r="802" ht="15.75" customHeight="1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</row>
    <row r="803" ht="15.75" customHeight="1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</row>
    <row r="804" ht="15.75" customHeight="1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</row>
    <row r="805" ht="15.75" customHeight="1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</row>
    <row r="806" ht="15.75" customHeight="1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</row>
    <row r="807" ht="15.75" customHeight="1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</row>
    <row r="808" ht="15.75" customHeight="1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</row>
    <row r="809" ht="15.75" customHeight="1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</row>
    <row r="810" ht="15.75" customHeight="1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</row>
    <row r="811" ht="15.75" customHeight="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</row>
    <row r="812" ht="15.75" customHeight="1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</row>
    <row r="813" ht="15.75" customHeight="1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</row>
    <row r="814" ht="15.75" customHeight="1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</row>
    <row r="815" ht="15.75" customHeight="1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</row>
    <row r="816" ht="15.75" customHeight="1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</row>
    <row r="817" ht="15.75" customHeight="1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</row>
    <row r="818" ht="15.75" customHeight="1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</row>
    <row r="819" ht="15.75" customHeight="1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</row>
    <row r="820" ht="15.75" customHeight="1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</row>
    <row r="821" ht="15.75" customHeight="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</row>
    <row r="822" ht="15.75" customHeight="1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</row>
    <row r="823" ht="15.75" customHeight="1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</row>
    <row r="824" ht="15.75" customHeight="1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</row>
    <row r="825" ht="15.75" customHeight="1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</row>
    <row r="826" ht="15.75" customHeight="1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</row>
    <row r="827" ht="15.75" customHeight="1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</row>
    <row r="828" ht="15.75" customHeight="1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</row>
    <row r="829" ht="15.75" customHeight="1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</row>
    <row r="830" ht="15.75" customHeight="1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</row>
    <row r="831" ht="15.75" customHeight="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</row>
    <row r="832" ht="15.75" customHeight="1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</row>
    <row r="833" ht="15.75" customHeight="1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</row>
    <row r="834" ht="15.75" customHeight="1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</row>
    <row r="835" ht="15.75" customHeight="1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</row>
    <row r="836" ht="15.75" customHeight="1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</row>
    <row r="837" ht="15.75" customHeight="1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</row>
    <row r="838" ht="15.75" customHeight="1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</row>
    <row r="839" ht="15.75" customHeight="1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</row>
    <row r="840" ht="15.75" customHeight="1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</row>
    <row r="841" ht="15.75" customHeight="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</row>
    <row r="842" ht="15.75" customHeight="1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</row>
    <row r="843" ht="15.75" customHeight="1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</row>
    <row r="844" ht="15.75" customHeight="1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</row>
    <row r="845" ht="15.75" customHeight="1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</row>
    <row r="846" ht="15.75" customHeight="1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</row>
    <row r="847" ht="15.75" customHeight="1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</row>
    <row r="848" ht="15.75" customHeight="1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</row>
    <row r="849" ht="15.75" customHeight="1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</row>
    <row r="850" ht="15.75" customHeight="1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</row>
    <row r="851" ht="15.75" customHeight="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  <c r="AG851" s="17"/>
    </row>
    <row r="852" ht="15.75" customHeight="1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17"/>
      <c r="AG852" s="17"/>
    </row>
    <row r="853" ht="15.75" customHeight="1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  <c r="AF853" s="17"/>
      <c r="AG853" s="17"/>
    </row>
    <row r="854" ht="15.75" customHeight="1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  <c r="AE854" s="17"/>
      <c r="AF854" s="17"/>
      <c r="AG854" s="17"/>
    </row>
    <row r="855" ht="15.75" customHeight="1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  <c r="AE855" s="17"/>
      <c r="AF855" s="17"/>
      <c r="AG855" s="17"/>
    </row>
    <row r="856" ht="15.75" customHeight="1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  <c r="AE856" s="17"/>
      <c r="AF856" s="17"/>
      <c r="AG856" s="17"/>
    </row>
    <row r="857" ht="15.75" customHeight="1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  <c r="AE857" s="17"/>
      <c r="AF857" s="17"/>
      <c r="AG857" s="17"/>
    </row>
    <row r="858" ht="15.75" customHeight="1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  <c r="AE858" s="17"/>
      <c r="AF858" s="17"/>
      <c r="AG858" s="17"/>
    </row>
    <row r="859" ht="15.75" customHeight="1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  <c r="AE859" s="17"/>
      <c r="AF859" s="17"/>
      <c r="AG859" s="17"/>
    </row>
    <row r="860" ht="15.75" customHeight="1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  <c r="AE860" s="17"/>
      <c r="AF860" s="17"/>
      <c r="AG860" s="17"/>
    </row>
    <row r="861" ht="15.75" customHeight="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  <c r="AE861" s="17"/>
      <c r="AF861" s="17"/>
      <c r="AG861" s="17"/>
    </row>
    <row r="862" ht="15.75" customHeight="1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  <c r="AF862" s="17"/>
      <c r="AG862" s="17"/>
    </row>
    <row r="863" ht="15.75" customHeight="1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  <c r="AE863" s="17"/>
      <c r="AF863" s="17"/>
      <c r="AG863" s="17"/>
    </row>
    <row r="864" ht="15.75" customHeight="1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  <c r="AE864" s="17"/>
      <c r="AF864" s="17"/>
      <c r="AG864" s="17"/>
    </row>
    <row r="865" ht="15.75" customHeight="1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  <c r="AE865" s="17"/>
      <c r="AF865" s="17"/>
      <c r="AG865" s="17"/>
    </row>
    <row r="866" ht="15.75" customHeight="1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  <c r="AE866" s="17"/>
      <c r="AF866" s="17"/>
      <c r="AG866" s="17"/>
    </row>
    <row r="867" ht="15.75" customHeight="1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  <c r="AE867" s="17"/>
      <c r="AF867" s="17"/>
      <c r="AG867" s="17"/>
    </row>
    <row r="868" ht="15.75" customHeight="1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  <c r="AE868" s="17"/>
      <c r="AF868" s="17"/>
      <c r="AG868" s="17"/>
    </row>
    <row r="869" ht="15.75" customHeight="1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  <c r="AE869" s="17"/>
      <c r="AF869" s="17"/>
      <c r="AG869" s="17"/>
    </row>
    <row r="870" ht="15.75" customHeight="1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  <c r="AE870" s="17"/>
      <c r="AF870" s="17"/>
      <c r="AG870" s="17"/>
    </row>
    <row r="871" ht="15.75" customHeight="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  <c r="AE871" s="17"/>
      <c r="AF871" s="17"/>
      <c r="AG871" s="17"/>
    </row>
    <row r="872" ht="15.75" customHeight="1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  <c r="AE872" s="17"/>
      <c r="AF872" s="17"/>
      <c r="AG872" s="17"/>
    </row>
    <row r="873" ht="15.75" customHeight="1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  <c r="AE873" s="17"/>
      <c r="AF873" s="17"/>
      <c r="AG873" s="17"/>
    </row>
    <row r="874" ht="15.75" customHeight="1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  <c r="AE874" s="17"/>
      <c r="AF874" s="17"/>
      <c r="AG874" s="17"/>
    </row>
    <row r="875" ht="15.75" customHeight="1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  <c r="AE875" s="17"/>
      <c r="AF875" s="17"/>
      <c r="AG875" s="17"/>
    </row>
    <row r="876" ht="15.75" customHeight="1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  <c r="AE876" s="17"/>
      <c r="AF876" s="17"/>
      <c r="AG876" s="17"/>
    </row>
    <row r="877" ht="15.75" customHeight="1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  <c r="AE877" s="17"/>
      <c r="AF877" s="17"/>
      <c r="AG877" s="17"/>
    </row>
    <row r="878" ht="15.75" customHeight="1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  <c r="AE878" s="17"/>
      <c r="AF878" s="17"/>
      <c r="AG878" s="17"/>
    </row>
    <row r="879" ht="15.75" customHeight="1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  <c r="AE879" s="17"/>
      <c r="AF879" s="17"/>
      <c r="AG879" s="17"/>
    </row>
    <row r="880" ht="15.75" customHeight="1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  <c r="AE880" s="17"/>
      <c r="AF880" s="17"/>
      <c r="AG880" s="17"/>
    </row>
    <row r="881" ht="15.75" customHeight="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  <c r="AE881" s="17"/>
      <c r="AF881" s="17"/>
      <c r="AG881" s="17"/>
    </row>
    <row r="882" ht="15.75" customHeight="1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  <c r="AE882" s="17"/>
      <c r="AF882" s="17"/>
      <c r="AG882" s="17"/>
    </row>
    <row r="883" ht="15.75" customHeight="1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  <c r="AE883" s="17"/>
      <c r="AF883" s="17"/>
      <c r="AG883" s="17"/>
    </row>
    <row r="884" ht="15.75" customHeight="1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  <c r="AE884" s="17"/>
      <c r="AF884" s="17"/>
      <c r="AG884" s="17"/>
    </row>
    <row r="885" ht="15.75" customHeight="1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  <c r="AE885" s="17"/>
      <c r="AF885" s="17"/>
      <c r="AG885" s="17"/>
    </row>
    <row r="886" ht="15.75" customHeight="1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  <c r="AE886" s="17"/>
      <c r="AF886" s="17"/>
      <c r="AG886" s="17"/>
    </row>
    <row r="887" ht="15.75" customHeight="1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  <c r="AE887" s="17"/>
      <c r="AF887" s="17"/>
      <c r="AG887" s="17"/>
    </row>
    <row r="888" ht="15.75" customHeight="1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  <c r="AF888" s="17"/>
      <c r="AG888" s="17"/>
    </row>
    <row r="889" ht="15.75" customHeight="1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  <c r="AE889" s="17"/>
      <c r="AF889" s="17"/>
      <c r="AG889" s="17"/>
    </row>
    <row r="890" ht="15.75" customHeight="1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  <c r="AE890" s="17"/>
      <c r="AF890" s="17"/>
      <c r="AG890" s="17"/>
    </row>
    <row r="891" ht="15.75" customHeight="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  <c r="AE891" s="17"/>
      <c r="AF891" s="17"/>
      <c r="AG891" s="17"/>
    </row>
    <row r="892" ht="15.75" customHeight="1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  <c r="AE892" s="17"/>
      <c r="AF892" s="17"/>
      <c r="AG892" s="17"/>
    </row>
    <row r="893" ht="15.75" customHeight="1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  <c r="AE893" s="17"/>
      <c r="AF893" s="17"/>
      <c r="AG893" s="17"/>
    </row>
    <row r="894" ht="15.75" customHeight="1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  <c r="AE894" s="17"/>
      <c r="AF894" s="17"/>
      <c r="AG894" s="17"/>
    </row>
    <row r="895" ht="15.75" customHeight="1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  <c r="AE895" s="17"/>
      <c r="AF895" s="17"/>
      <c r="AG895" s="17"/>
    </row>
    <row r="896" ht="15.75" customHeight="1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  <c r="AE896" s="17"/>
      <c r="AF896" s="17"/>
      <c r="AG896" s="17"/>
    </row>
    <row r="897" ht="15.75" customHeight="1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  <c r="AE897" s="17"/>
      <c r="AF897" s="17"/>
      <c r="AG897" s="17"/>
    </row>
    <row r="898" ht="15.75" customHeight="1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  <c r="AE898" s="17"/>
      <c r="AF898" s="17"/>
      <c r="AG898" s="17"/>
    </row>
    <row r="899" ht="15.75" customHeight="1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  <c r="AE899" s="17"/>
      <c r="AF899" s="17"/>
      <c r="AG899" s="17"/>
    </row>
    <row r="900" ht="15.75" customHeight="1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  <c r="AE900" s="17"/>
      <c r="AF900" s="17"/>
      <c r="AG900" s="17"/>
    </row>
    <row r="901" ht="15.75" customHeight="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  <c r="AE901" s="17"/>
      <c r="AF901" s="17"/>
      <c r="AG901" s="17"/>
    </row>
    <row r="902" ht="15.75" customHeight="1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  <c r="AE902" s="17"/>
      <c r="AF902" s="17"/>
      <c r="AG902" s="17"/>
    </row>
    <row r="903" ht="15.75" customHeight="1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  <c r="AF903" s="17"/>
      <c r="AG903" s="17"/>
    </row>
    <row r="904" ht="15.75" customHeight="1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  <c r="AE904" s="17"/>
      <c r="AF904" s="17"/>
      <c r="AG904" s="17"/>
    </row>
    <row r="905" ht="15.75" customHeight="1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  <c r="AE905" s="17"/>
      <c r="AF905" s="17"/>
      <c r="AG905" s="17"/>
    </row>
    <row r="906" ht="15.75" customHeight="1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  <c r="AE906" s="17"/>
      <c r="AF906" s="17"/>
      <c r="AG906" s="17"/>
    </row>
    <row r="907" ht="15.75" customHeight="1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  <c r="AE907" s="17"/>
      <c r="AF907" s="17"/>
      <c r="AG907" s="17"/>
    </row>
    <row r="908" ht="15.75" customHeight="1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  <c r="AE908" s="17"/>
      <c r="AF908" s="17"/>
      <c r="AG908" s="17"/>
    </row>
    <row r="909" ht="15.75" customHeight="1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  <c r="AE909" s="17"/>
      <c r="AF909" s="17"/>
      <c r="AG909" s="17"/>
    </row>
    <row r="910" ht="15.75" customHeight="1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  <c r="AE910" s="17"/>
      <c r="AF910" s="17"/>
      <c r="AG910" s="17"/>
    </row>
    <row r="911" ht="15.75" customHeight="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  <c r="AE911" s="17"/>
      <c r="AF911" s="17"/>
      <c r="AG911" s="17"/>
    </row>
    <row r="912" ht="15.75" customHeight="1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  <c r="AE912" s="17"/>
      <c r="AF912" s="17"/>
      <c r="AG912" s="17"/>
    </row>
    <row r="913" ht="15.75" customHeight="1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  <c r="AE913" s="17"/>
      <c r="AF913" s="17"/>
      <c r="AG913" s="17"/>
    </row>
    <row r="914" ht="15.75" customHeight="1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  <c r="AE914" s="17"/>
      <c r="AF914" s="17"/>
      <c r="AG914" s="17"/>
    </row>
    <row r="915" ht="15.75" customHeight="1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  <c r="AE915" s="17"/>
      <c r="AF915" s="17"/>
      <c r="AG915" s="17"/>
    </row>
    <row r="916" ht="15.75" customHeight="1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  <c r="AE916" s="17"/>
      <c r="AF916" s="17"/>
      <c r="AG916" s="17"/>
    </row>
    <row r="917" ht="15.75" customHeight="1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  <c r="AE917" s="17"/>
      <c r="AF917" s="17"/>
      <c r="AG917" s="17"/>
    </row>
    <row r="918" ht="15.75" customHeight="1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  <c r="AE918" s="17"/>
      <c r="AF918" s="17"/>
      <c r="AG918" s="17"/>
    </row>
    <row r="919" ht="15.75" customHeight="1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  <c r="AE919" s="17"/>
      <c r="AF919" s="17"/>
      <c r="AG919" s="17"/>
    </row>
    <row r="920" ht="15.75" customHeight="1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  <c r="AE920" s="17"/>
      <c r="AF920" s="17"/>
      <c r="AG920" s="17"/>
    </row>
    <row r="921" ht="15.75" customHeight="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  <c r="AE921" s="17"/>
      <c r="AF921" s="17"/>
      <c r="AG921" s="17"/>
    </row>
    <row r="922" ht="15.75" customHeight="1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  <c r="AE922" s="17"/>
      <c r="AF922" s="17"/>
      <c r="AG922" s="17"/>
    </row>
    <row r="923" ht="15.75" customHeight="1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  <c r="AE923" s="17"/>
      <c r="AF923" s="17"/>
      <c r="AG923" s="17"/>
    </row>
    <row r="924" ht="15.75" customHeight="1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  <c r="AE924" s="17"/>
      <c r="AF924" s="17"/>
      <c r="AG924" s="17"/>
    </row>
    <row r="925" ht="15.75" customHeight="1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  <c r="AE925" s="17"/>
      <c r="AF925" s="17"/>
      <c r="AG925" s="17"/>
    </row>
    <row r="926" ht="15.75" customHeight="1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  <c r="AE926" s="17"/>
      <c r="AF926" s="17"/>
      <c r="AG926" s="17"/>
    </row>
    <row r="927" ht="15.75" customHeight="1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  <c r="AE927" s="17"/>
      <c r="AF927" s="17"/>
      <c r="AG927" s="17"/>
    </row>
    <row r="928" ht="15.75" customHeight="1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  <c r="AE928" s="17"/>
      <c r="AF928" s="17"/>
      <c r="AG928" s="17"/>
    </row>
    <row r="929" ht="15.75" customHeight="1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  <c r="AE929" s="17"/>
      <c r="AF929" s="17"/>
      <c r="AG929" s="17"/>
    </row>
    <row r="930" ht="15.75" customHeight="1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  <c r="AE930" s="17"/>
      <c r="AF930" s="17"/>
      <c r="AG930" s="17"/>
    </row>
    <row r="931" ht="15.75" customHeight="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  <c r="AE931" s="17"/>
      <c r="AF931" s="17"/>
      <c r="AG931" s="17"/>
    </row>
    <row r="932" ht="15.75" customHeight="1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  <c r="AE932" s="17"/>
      <c r="AF932" s="17"/>
      <c r="AG932" s="17"/>
    </row>
    <row r="933" ht="15.75" customHeight="1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  <c r="AF933" s="17"/>
      <c r="AG933" s="17"/>
    </row>
    <row r="934" ht="15.75" customHeight="1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  <c r="AE934" s="17"/>
      <c r="AF934" s="17"/>
      <c r="AG934" s="17"/>
    </row>
    <row r="935" ht="15.75" customHeight="1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  <c r="AE935" s="17"/>
      <c r="AF935" s="17"/>
      <c r="AG935" s="17"/>
    </row>
    <row r="936" ht="15.75" customHeight="1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  <c r="AE936" s="17"/>
      <c r="AF936" s="17"/>
      <c r="AG936" s="17"/>
    </row>
    <row r="937" ht="15.75" customHeight="1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  <c r="AE937" s="17"/>
      <c r="AF937" s="17"/>
      <c r="AG937" s="17"/>
    </row>
    <row r="938" ht="15.75" customHeight="1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  <c r="AE938" s="17"/>
      <c r="AF938" s="17"/>
      <c r="AG938" s="17"/>
    </row>
    <row r="939" ht="15.75" customHeight="1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  <c r="AE939" s="17"/>
      <c r="AF939" s="17"/>
      <c r="AG939" s="17"/>
    </row>
    <row r="940" ht="15.75" customHeight="1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  <c r="AE940" s="17"/>
      <c r="AF940" s="17"/>
      <c r="AG940" s="17"/>
    </row>
    <row r="941" ht="15.75" customHeight="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  <c r="AE941" s="17"/>
      <c r="AF941" s="17"/>
      <c r="AG941" s="17"/>
    </row>
    <row r="942" ht="15.75" customHeight="1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  <c r="AE942" s="17"/>
      <c r="AF942" s="17"/>
      <c r="AG942" s="17"/>
    </row>
    <row r="943" ht="15.75" customHeight="1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  <c r="AE943" s="17"/>
      <c r="AF943" s="17"/>
      <c r="AG943" s="17"/>
    </row>
    <row r="944" ht="15.75" customHeight="1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  <c r="AE944" s="17"/>
      <c r="AF944" s="17"/>
      <c r="AG944" s="17"/>
    </row>
    <row r="945" ht="15.75" customHeight="1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  <c r="AE945" s="17"/>
      <c r="AF945" s="17"/>
      <c r="AG945" s="17"/>
    </row>
    <row r="946" ht="15.75" customHeight="1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  <c r="AE946" s="17"/>
      <c r="AF946" s="17"/>
      <c r="AG946" s="17"/>
    </row>
    <row r="947" ht="15.75" customHeight="1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  <c r="AE947" s="17"/>
      <c r="AF947" s="17"/>
      <c r="AG947" s="17"/>
    </row>
    <row r="948" ht="15.75" customHeight="1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  <c r="AE948" s="17"/>
      <c r="AF948" s="17"/>
      <c r="AG948" s="17"/>
    </row>
    <row r="949" ht="15.75" customHeight="1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  <c r="AE949" s="17"/>
      <c r="AF949" s="17"/>
      <c r="AG949" s="17"/>
    </row>
    <row r="950" ht="15.75" customHeight="1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  <c r="AE950" s="17"/>
      <c r="AF950" s="17"/>
      <c r="AG950" s="17"/>
    </row>
    <row r="951" ht="15.75" customHeight="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  <c r="AE951" s="17"/>
      <c r="AF951" s="17"/>
      <c r="AG951" s="17"/>
    </row>
    <row r="952" ht="15.75" customHeight="1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  <c r="AE952" s="17"/>
      <c r="AF952" s="17"/>
      <c r="AG952" s="17"/>
    </row>
    <row r="953" ht="15.75" customHeight="1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  <c r="AE953" s="17"/>
      <c r="AF953" s="17"/>
      <c r="AG953" s="17"/>
    </row>
    <row r="954" ht="15.75" customHeight="1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  <c r="AE954" s="17"/>
      <c r="AF954" s="17"/>
      <c r="AG954" s="17"/>
    </row>
    <row r="955" ht="15.75" customHeight="1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  <c r="AE955" s="17"/>
      <c r="AF955" s="17"/>
      <c r="AG955" s="17"/>
    </row>
    <row r="956" ht="15.75" customHeight="1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  <c r="AE956" s="17"/>
      <c r="AF956" s="17"/>
      <c r="AG956" s="17"/>
    </row>
    <row r="957" ht="15.75" customHeight="1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  <c r="AE957" s="17"/>
      <c r="AF957" s="17"/>
      <c r="AG957" s="17"/>
    </row>
    <row r="958" ht="15.75" customHeight="1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  <c r="AE958" s="17"/>
      <c r="AF958" s="17"/>
      <c r="AG958" s="17"/>
    </row>
    <row r="959" ht="15.75" customHeight="1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  <c r="AE959" s="17"/>
      <c r="AF959" s="17"/>
      <c r="AG959" s="17"/>
    </row>
    <row r="960" ht="15.75" customHeight="1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  <c r="AE960" s="17"/>
      <c r="AF960" s="17"/>
      <c r="AG960" s="17"/>
    </row>
    <row r="961" ht="15.75" customHeight="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  <c r="AE961" s="17"/>
      <c r="AF961" s="17"/>
      <c r="AG961" s="17"/>
    </row>
    <row r="962" ht="15.75" customHeight="1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  <c r="AE962" s="17"/>
      <c r="AF962" s="17"/>
      <c r="AG962" s="17"/>
    </row>
    <row r="963" ht="15.75" customHeight="1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  <c r="AE963" s="17"/>
      <c r="AF963" s="17"/>
      <c r="AG963" s="17"/>
    </row>
    <row r="964" ht="15.75" customHeight="1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  <c r="AE964" s="17"/>
      <c r="AF964" s="17"/>
      <c r="AG964" s="17"/>
    </row>
    <row r="965" ht="15.75" customHeight="1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  <c r="AE965" s="17"/>
      <c r="AF965" s="17"/>
      <c r="AG965" s="17"/>
    </row>
    <row r="966" ht="15.75" customHeight="1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  <c r="AE966" s="17"/>
      <c r="AF966" s="17"/>
      <c r="AG966" s="17"/>
    </row>
    <row r="967" ht="15.75" customHeight="1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  <c r="AE967" s="17"/>
      <c r="AF967" s="17"/>
      <c r="AG967" s="17"/>
    </row>
    <row r="968" ht="15.75" customHeight="1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  <c r="AE968" s="17"/>
      <c r="AF968" s="17"/>
      <c r="AG968" s="17"/>
    </row>
    <row r="969" ht="15.75" customHeight="1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  <c r="AE969" s="17"/>
      <c r="AF969" s="17"/>
      <c r="AG969" s="17"/>
    </row>
    <row r="970" ht="15.75" customHeight="1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  <c r="AE970" s="17"/>
      <c r="AF970" s="17"/>
      <c r="AG970" s="17"/>
    </row>
    <row r="971" ht="15.75" customHeight="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  <c r="AE971" s="17"/>
      <c r="AF971" s="17"/>
      <c r="AG971" s="17"/>
    </row>
    <row r="972" ht="15.75" customHeight="1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  <c r="AE972" s="17"/>
      <c r="AF972" s="17"/>
      <c r="AG972" s="17"/>
    </row>
    <row r="973" ht="15.75" customHeight="1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  <c r="AE973" s="17"/>
      <c r="AF973" s="17"/>
      <c r="AG973" s="17"/>
    </row>
    <row r="974" ht="15.75" customHeight="1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  <c r="AE974" s="17"/>
      <c r="AF974" s="17"/>
      <c r="AG974" s="17"/>
    </row>
    <row r="975" ht="15.75" customHeight="1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  <c r="AE975" s="17"/>
      <c r="AF975" s="17"/>
      <c r="AG975" s="17"/>
    </row>
    <row r="976" ht="15.75" customHeight="1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  <c r="AE976" s="17"/>
      <c r="AF976" s="17"/>
      <c r="AG976" s="17"/>
    </row>
    <row r="977" ht="15.75" customHeight="1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  <c r="AE977" s="17"/>
      <c r="AF977" s="17"/>
      <c r="AG977" s="17"/>
    </row>
    <row r="978" ht="15.75" customHeight="1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  <c r="AE978" s="17"/>
      <c r="AF978" s="17"/>
      <c r="AG978" s="17"/>
    </row>
    <row r="979" ht="15.75" customHeight="1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  <c r="AE979" s="17"/>
      <c r="AF979" s="17"/>
      <c r="AG979" s="17"/>
    </row>
    <row r="980" ht="15.75" customHeight="1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  <c r="AE980" s="17"/>
      <c r="AF980" s="17"/>
      <c r="AG980" s="17"/>
    </row>
    <row r="981" ht="15.75" customHeight="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  <c r="AE981" s="17"/>
      <c r="AF981" s="17"/>
      <c r="AG981" s="17"/>
    </row>
    <row r="982" ht="15.75" customHeight="1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  <c r="AE982" s="17"/>
      <c r="AF982" s="17"/>
      <c r="AG982" s="17"/>
    </row>
    <row r="983" ht="15.75" customHeight="1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  <c r="AE983" s="17"/>
      <c r="AF983" s="17"/>
      <c r="AG983" s="17"/>
    </row>
    <row r="984" ht="15.75" customHeight="1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  <c r="AE984" s="17"/>
      <c r="AF984" s="17"/>
      <c r="AG984" s="17"/>
    </row>
    <row r="985" ht="15.75" customHeight="1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  <c r="AE985" s="17"/>
      <c r="AF985" s="17"/>
      <c r="AG985" s="17"/>
    </row>
    <row r="986" ht="15.75" customHeight="1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  <c r="AE986" s="17"/>
      <c r="AF986" s="17"/>
      <c r="AG986" s="17"/>
    </row>
    <row r="987" ht="15.75" customHeight="1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  <c r="AE987" s="17"/>
      <c r="AF987" s="17"/>
      <c r="AG987" s="17"/>
    </row>
    <row r="988" ht="15.75" customHeight="1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  <c r="AE988" s="17"/>
      <c r="AF988" s="17"/>
      <c r="AG988" s="17"/>
    </row>
    <row r="989" ht="15.75" customHeight="1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  <c r="AE989" s="17"/>
      <c r="AF989" s="17"/>
      <c r="AG989" s="17"/>
    </row>
    <row r="990" ht="15.75" customHeight="1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  <c r="AE990" s="17"/>
      <c r="AF990" s="17"/>
      <c r="AG990" s="17"/>
    </row>
    <row r="991" ht="15.75" customHeight="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  <c r="AD991" s="17"/>
      <c r="AE991" s="17"/>
      <c r="AF991" s="17"/>
      <c r="AG991" s="17"/>
    </row>
    <row r="992" ht="15.75" customHeight="1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  <c r="AD992" s="17"/>
      <c r="AE992" s="17"/>
      <c r="AF992" s="17"/>
      <c r="AG992" s="17"/>
    </row>
    <row r="993" ht="15.75" customHeight="1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  <c r="AE993" s="17"/>
      <c r="AF993" s="17"/>
      <c r="AG993" s="17"/>
    </row>
    <row r="994" ht="15.75" customHeight="1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  <c r="AE994" s="17"/>
      <c r="AF994" s="17"/>
      <c r="AG994" s="17"/>
    </row>
    <row r="995" ht="15.75" customHeight="1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  <c r="AE995" s="17"/>
      <c r="AF995" s="17"/>
      <c r="AG995" s="17"/>
    </row>
    <row r="996" ht="15.75" customHeight="1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  <c r="AD996" s="17"/>
      <c r="AE996" s="17"/>
      <c r="AF996" s="17"/>
      <c r="AG996" s="17"/>
    </row>
    <row r="997" ht="15.75" customHeight="1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  <c r="AD997" s="17"/>
      <c r="AE997" s="17"/>
      <c r="AF997" s="17"/>
      <c r="AG997" s="17"/>
    </row>
    <row r="998" ht="15.75" customHeight="1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  <c r="AD998" s="17"/>
      <c r="AE998" s="17"/>
      <c r="AF998" s="17"/>
      <c r="AG998" s="17"/>
    </row>
    <row r="999" ht="15.75" customHeight="1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  <c r="AD999" s="17"/>
      <c r="AE999" s="17"/>
      <c r="AF999" s="17"/>
      <c r="AG999" s="17"/>
    </row>
    <row r="1000" ht="15.75" customHeight="1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  <c r="AD1000" s="17"/>
      <c r="AE1000" s="17"/>
      <c r="AF1000" s="17"/>
      <c r="AG1000" s="17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31" width="14.38"/>
    <col customWidth="1" min="32" max="32" width="20.88"/>
  </cols>
  <sheetData>
    <row r="1" ht="15.75" customHeight="1">
      <c r="A1" s="1"/>
      <c r="B1" s="1"/>
      <c r="C1" s="1"/>
      <c r="D1" s="1"/>
      <c r="E1" s="1"/>
      <c r="F1" s="1" t="s">
        <v>20</v>
      </c>
      <c r="G1" s="1"/>
      <c r="H1" s="1"/>
      <c r="I1" s="1"/>
      <c r="J1" s="1"/>
      <c r="K1" s="1"/>
      <c r="L1" s="1"/>
      <c r="M1" s="1"/>
      <c r="N1" s="1"/>
      <c r="O1" s="1"/>
      <c r="P1" s="1" t="s">
        <v>21</v>
      </c>
      <c r="Q1" s="1"/>
      <c r="R1" s="1"/>
      <c r="S1" s="1"/>
      <c r="T1" s="1"/>
      <c r="U1" s="1"/>
      <c r="V1" s="1"/>
      <c r="W1" s="1"/>
      <c r="X1" s="1"/>
      <c r="Y1" s="1"/>
      <c r="Z1" s="1" t="s">
        <v>22</v>
      </c>
      <c r="AA1" s="1"/>
      <c r="AB1" s="1"/>
      <c r="AC1" s="1"/>
      <c r="AD1" s="1"/>
      <c r="AE1" s="1"/>
      <c r="AF1" s="24" t="s">
        <v>23</v>
      </c>
    </row>
    <row r="2" ht="15.75" customHeight="1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3" t="s">
        <v>10</v>
      </c>
      <c r="I2" s="2" t="s">
        <v>11</v>
      </c>
      <c r="J2" s="2" t="s">
        <v>12</v>
      </c>
      <c r="K2" s="2" t="s">
        <v>13</v>
      </c>
      <c r="L2" s="2" t="s">
        <v>4</v>
      </c>
      <c r="M2" s="2" t="s">
        <v>5</v>
      </c>
      <c r="N2" s="2" t="s">
        <v>6</v>
      </c>
      <c r="O2" s="2" t="s">
        <v>7</v>
      </c>
      <c r="P2" s="2" t="s">
        <v>8</v>
      </c>
      <c r="Q2" s="2" t="s">
        <v>9</v>
      </c>
      <c r="R2" s="3" t="s">
        <v>10</v>
      </c>
      <c r="S2" s="2" t="s">
        <v>11</v>
      </c>
      <c r="T2" s="2" t="s">
        <v>12</v>
      </c>
      <c r="U2" s="2" t="s">
        <v>13</v>
      </c>
      <c r="V2" s="2" t="s">
        <v>4</v>
      </c>
      <c r="W2" s="2" t="s">
        <v>5</v>
      </c>
      <c r="X2" s="2" t="s">
        <v>6</v>
      </c>
      <c r="Y2" s="2" t="s">
        <v>7</v>
      </c>
      <c r="Z2" s="2" t="s">
        <v>8</v>
      </c>
      <c r="AA2" s="2" t="s">
        <v>9</v>
      </c>
      <c r="AB2" s="3" t="s">
        <v>10</v>
      </c>
      <c r="AC2" s="2" t="s">
        <v>11</v>
      </c>
      <c r="AD2" s="2" t="s">
        <v>12</v>
      </c>
      <c r="AE2" s="2" t="s">
        <v>13</v>
      </c>
      <c r="AF2" s="25"/>
    </row>
    <row r="3" ht="15.75" customHeight="1">
      <c r="A3" s="4">
        <f>DATE(2023,4,1)</f>
        <v>45017</v>
      </c>
      <c r="B3" s="26">
        <v>0.0</v>
      </c>
      <c r="C3" s="26">
        <v>0.0</v>
      </c>
      <c r="D3" s="26">
        <v>0.0</v>
      </c>
      <c r="E3" s="26">
        <v>0.0</v>
      </c>
      <c r="F3" s="26">
        <v>0.0</v>
      </c>
      <c r="G3" s="26">
        <v>0.0</v>
      </c>
      <c r="H3" s="26">
        <v>0.0</v>
      </c>
      <c r="I3" s="26">
        <v>0.0</v>
      </c>
      <c r="J3" s="26">
        <v>60.0</v>
      </c>
      <c r="K3" s="26">
        <v>44.0</v>
      </c>
      <c r="L3" s="7">
        <f>0.9*SALES!L3</f>
        <v>40.5</v>
      </c>
      <c r="M3" s="7">
        <f>0.92*SALES!M3</f>
        <v>37.72</v>
      </c>
      <c r="N3" s="7">
        <f>0.92*SALES!N3</f>
        <v>93.84</v>
      </c>
      <c r="O3" s="7">
        <f>0.9*SALES!O3</f>
        <v>99</v>
      </c>
      <c r="P3" s="7">
        <f>0.92*SALES!P3</f>
        <v>103.04</v>
      </c>
      <c r="Q3" s="7">
        <f>0.94*SALES!Q3</f>
        <v>42.3</v>
      </c>
      <c r="R3" s="7">
        <f>0.94*SALES!R3</f>
        <v>155.1</v>
      </c>
      <c r="S3" s="7">
        <f>0.9*SALES!S3</f>
        <v>374.4</v>
      </c>
      <c r="T3" s="7">
        <f>0.95*SALES!T3</f>
        <v>57</v>
      </c>
      <c r="U3" s="7">
        <f>0.82*SALES!U3</f>
        <v>701.1</v>
      </c>
      <c r="V3" s="27">
        <f t="shared" ref="V3:AE3" si="1">B3*L3</f>
        <v>0</v>
      </c>
      <c r="W3" s="27">
        <f t="shared" si="1"/>
        <v>0</v>
      </c>
      <c r="X3" s="27">
        <f t="shared" si="1"/>
        <v>0</v>
      </c>
      <c r="Y3" s="27">
        <f t="shared" si="1"/>
        <v>0</v>
      </c>
      <c r="Z3" s="27">
        <f t="shared" si="1"/>
        <v>0</v>
      </c>
      <c r="AA3" s="27">
        <f t="shared" si="1"/>
        <v>0</v>
      </c>
      <c r="AB3" s="27">
        <f t="shared" si="1"/>
        <v>0</v>
      </c>
      <c r="AC3" s="27">
        <f t="shared" si="1"/>
        <v>0</v>
      </c>
      <c r="AD3" s="27">
        <f t="shared" si="1"/>
        <v>3420</v>
      </c>
      <c r="AE3" s="27">
        <f t="shared" si="1"/>
        <v>30848.4</v>
      </c>
      <c r="AF3" s="28">
        <f t="shared" ref="AF3:AF33" si="3">sum(V3:AE3)</f>
        <v>34268.4</v>
      </c>
    </row>
    <row r="4" ht="15.75" customHeight="1">
      <c r="A4" s="4">
        <f>DATE(2023,4,2)</f>
        <v>45018</v>
      </c>
      <c r="B4" s="26">
        <v>0.0</v>
      </c>
      <c r="C4" s="26">
        <v>200.0</v>
      </c>
      <c r="D4" s="26">
        <v>0.0</v>
      </c>
      <c r="E4" s="26">
        <v>50.0</v>
      </c>
      <c r="F4" s="26">
        <v>0.0</v>
      </c>
      <c r="G4" s="26">
        <v>0.0</v>
      </c>
      <c r="H4" s="26">
        <v>0.0</v>
      </c>
      <c r="I4" s="26">
        <v>0.0</v>
      </c>
      <c r="J4" s="26">
        <v>56.0</v>
      </c>
      <c r="K4" s="26">
        <v>0.0</v>
      </c>
      <c r="L4" s="7">
        <f>0.9*SALES!L4</f>
        <v>40.5</v>
      </c>
      <c r="M4" s="7">
        <f>0.92*SALES!M4</f>
        <v>37.72</v>
      </c>
      <c r="N4" s="7">
        <f>0.92*SALES!N4</f>
        <v>93.84</v>
      </c>
      <c r="O4" s="7">
        <f>0.9*SALES!O4</f>
        <v>99</v>
      </c>
      <c r="P4" s="7">
        <f>0.92*SALES!P4</f>
        <v>103.04</v>
      </c>
      <c r="Q4" s="7">
        <f>0.94*SALES!Q4</f>
        <v>42.3</v>
      </c>
      <c r="R4" s="7">
        <f>0.94*SALES!R4</f>
        <v>155.1</v>
      </c>
      <c r="S4" s="7">
        <f>0.9*SALES!S4</f>
        <v>378</v>
      </c>
      <c r="T4" s="7">
        <f>0.95*SALES!T4</f>
        <v>57</v>
      </c>
      <c r="U4" s="7">
        <f>0.82*SALES!U4</f>
        <v>701.1</v>
      </c>
      <c r="V4" s="27">
        <f t="shared" ref="V4:AE4" si="2">B4*L4</f>
        <v>0</v>
      </c>
      <c r="W4" s="27">
        <f t="shared" si="2"/>
        <v>7544</v>
      </c>
      <c r="X4" s="27">
        <f t="shared" si="2"/>
        <v>0</v>
      </c>
      <c r="Y4" s="27">
        <f t="shared" si="2"/>
        <v>4950</v>
      </c>
      <c r="Z4" s="27">
        <f t="shared" si="2"/>
        <v>0</v>
      </c>
      <c r="AA4" s="27">
        <f t="shared" si="2"/>
        <v>0</v>
      </c>
      <c r="AB4" s="27">
        <f t="shared" si="2"/>
        <v>0</v>
      </c>
      <c r="AC4" s="27">
        <f t="shared" si="2"/>
        <v>0</v>
      </c>
      <c r="AD4" s="27">
        <f t="shared" si="2"/>
        <v>3192</v>
      </c>
      <c r="AE4" s="27">
        <f t="shared" si="2"/>
        <v>0</v>
      </c>
      <c r="AF4" s="28">
        <f t="shared" si="3"/>
        <v>15686</v>
      </c>
    </row>
    <row r="5" ht="15.75" customHeight="1">
      <c r="A5" s="4">
        <f>DATE(2023,4,3)</f>
        <v>45019</v>
      </c>
      <c r="B5" s="26">
        <v>0.0</v>
      </c>
      <c r="C5" s="26">
        <v>0.0</v>
      </c>
      <c r="D5" s="26">
        <v>50.0</v>
      </c>
      <c r="E5" s="26">
        <v>0.0</v>
      </c>
      <c r="F5" s="26">
        <v>50.0</v>
      </c>
      <c r="G5" s="26">
        <v>0.0</v>
      </c>
      <c r="H5" s="26">
        <v>60.0</v>
      </c>
      <c r="I5" s="26">
        <v>20.0</v>
      </c>
      <c r="J5" s="26">
        <v>60.0</v>
      </c>
      <c r="K5" s="26">
        <v>0.0</v>
      </c>
      <c r="L5" s="7">
        <f>0.9*SALES!L5</f>
        <v>40.5</v>
      </c>
      <c r="M5" s="7">
        <f>0.92*SALES!M5</f>
        <v>37.72</v>
      </c>
      <c r="N5" s="7">
        <f>0.92*SALES!N5</f>
        <v>93.84</v>
      </c>
      <c r="O5" s="7">
        <f>0.9*SALES!O5</f>
        <v>99</v>
      </c>
      <c r="P5" s="7">
        <f>0.92*SALES!P5</f>
        <v>103.04</v>
      </c>
      <c r="Q5" s="7">
        <f>0.94*SALES!Q5</f>
        <v>42.3</v>
      </c>
      <c r="R5" s="7">
        <f>0.94*SALES!R5</f>
        <v>155.1</v>
      </c>
      <c r="S5" s="7">
        <f>0.9*SALES!S5</f>
        <v>378</v>
      </c>
      <c r="T5" s="7">
        <f>0.95*SALES!T5</f>
        <v>57</v>
      </c>
      <c r="U5" s="7">
        <f>0.82*SALES!U5</f>
        <v>701.1</v>
      </c>
      <c r="V5" s="27">
        <f t="shared" ref="V5:AE5" si="4">B5*L5</f>
        <v>0</v>
      </c>
      <c r="W5" s="27">
        <f t="shared" si="4"/>
        <v>0</v>
      </c>
      <c r="X5" s="27">
        <f t="shared" si="4"/>
        <v>4692</v>
      </c>
      <c r="Y5" s="27">
        <f t="shared" si="4"/>
        <v>0</v>
      </c>
      <c r="Z5" s="27">
        <f t="shared" si="4"/>
        <v>5152</v>
      </c>
      <c r="AA5" s="27">
        <f t="shared" si="4"/>
        <v>0</v>
      </c>
      <c r="AB5" s="27">
        <f t="shared" si="4"/>
        <v>9306</v>
      </c>
      <c r="AC5" s="27">
        <f t="shared" si="4"/>
        <v>7560</v>
      </c>
      <c r="AD5" s="27">
        <f t="shared" si="4"/>
        <v>3420</v>
      </c>
      <c r="AE5" s="27">
        <f t="shared" si="4"/>
        <v>0</v>
      </c>
      <c r="AF5" s="28">
        <f t="shared" si="3"/>
        <v>30130</v>
      </c>
    </row>
    <row r="6" ht="15.75" customHeight="1">
      <c r="A6" s="4">
        <f>DATE(2023,4,4)</f>
        <v>45020</v>
      </c>
      <c r="B6" s="26">
        <v>0.0</v>
      </c>
      <c r="C6" s="26">
        <v>0.0</v>
      </c>
      <c r="D6" s="26">
        <v>0.0</v>
      </c>
      <c r="E6" s="26">
        <v>0.0</v>
      </c>
      <c r="F6" s="26">
        <v>50.0</v>
      </c>
      <c r="G6" s="26">
        <v>0.0</v>
      </c>
      <c r="H6" s="26">
        <v>60.0</v>
      </c>
      <c r="I6" s="26">
        <v>0.0</v>
      </c>
      <c r="J6" s="26">
        <v>64.0</v>
      </c>
      <c r="K6" s="26">
        <v>0.0</v>
      </c>
      <c r="L6" s="7">
        <f>0.9*SALES!L6</f>
        <v>39.6</v>
      </c>
      <c r="M6" s="7">
        <f>0.92*SALES!M6</f>
        <v>37.72</v>
      </c>
      <c r="N6" s="7">
        <f>0.92*SALES!N6</f>
        <v>93.84</v>
      </c>
      <c r="O6" s="7">
        <f>0.9*SALES!O6</f>
        <v>99</v>
      </c>
      <c r="P6" s="7">
        <f>0.92*SALES!P6</f>
        <v>103.04</v>
      </c>
      <c r="Q6" s="7">
        <f>0.94*SALES!Q6</f>
        <v>40.42</v>
      </c>
      <c r="R6" s="7">
        <f>0.94*SALES!R6</f>
        <v>155.1</v>
      </c>
      <c r="S6" s="7">
        <f>0.9*SALES!S6</f>
        <v>391.5</v>
      </c>
      <c r="T6" s="7">
        <f>0.95*SALES!T6</f>
        <v>57</v>
      </c>
      <c r="U6" s="7">
        <f>0.82*SALES!U6</f>
        <v>709.3</v>
      </c>
      <c r="V6" s="27">
        <f t="shared" ref="V6:AE6" si="5">B6*L6</f>
        <v>0</v>
      </c>
      <c r="W6" s="27">
        <f t="shared" si="5"/>
        <v>0</v>
      </c>
      <c r="X6" s="27">
        <f t="shared" si="5"/>
        <v>0</v>
      </c>
      <c r="Y6" s="27">
        <f t="shared" si="5"/>
        <v>0</v>
      </c>
      <c r="Z6" s="27">
        <f t="shared" si="5"/>
        <v>5152</v>
      </c>
      <c r="AA6" s="27">
        <f t="shared" si="5"/>
        <v>0</v>
      </c>
      <c r="AB6" s="27">
        <f t="shared" si="5"/>
        <v>9306</v>
      </c>
      <c r="AC6" s="27">
        <f t="shared" si="5"/>
        <v>0</v>
      </c>
      <c r="AD6" s="27">
        <f t="shared" si="5"/>
        <v>3648</v>
      </c>
      <c r="AE6" s="27">
        <f t="shared" si="5"/>
        <v>0</v>
      </c>
      <c r="AF6" s="28">
        <f t="shared" si="3"/>
        <v>18106</v>
      </c>
    </row>
    <row r="7" ht="15.75" customHeight="1">
      <c r="A7" s="4">
        <f>DATE(2023,4,5)</f>
        <v>45021</v>
      </c>
      <c r="B7" s="26">
        <v>0.0</v>
      </c>
      <c r="C7" s="26">
        <v>0.0</v>
      </c>
      <c r="D7" s="26">
        <v>0.0</v>
      </c>
      <c r="E7" s="26">
        <v>0.0</v>
      </c>
      <c r="F7" s="26">
        <v>0.0</v>
      </c>
      <c r="G7" s="26">
        <v>0.0</v>
      </c>
      <c r="H7" s="26">
        <v>0.0</v>
      </c>
      <c r="I7" s="26">
        <v>0.0</v>
      </c>
      <c r="J7" s="26">
        <v>80.0</v>
      </c>
      <c r="K7" s="26">
        <v>0.0</v>
      </c>
      <c r="L7" s="7">
        <f>0.9*SALES!L7</f>
        <v>39.6</v>
      </c>
      <c r="M7" s="7">
        <f>0.92*SALES!M7</f>
        <v>37.72</v>
      </c>
      <c r="N7" s="7">
        <f>0.92*SALES!N7</f>
        <v>93.84</v>
      </c>
      <c r="O7" s="7">
        <f>0.9*SALES!O7</f>
        <v>99</v>
      </c>
      <c r="P7" s="7">
        <f>0.92*SALES!P7</f>
        <v>103.04</v>
      </c>
      <c r="Q7" s="7">
        <f>0.94*SALES!Q7</f>
        <v>40.42</v>
      </c>
      <c r="R7" s="7">
        <f>0.94*SALES!R7</f>
        <v>155.1</v>
      </c>
      <c r="S7" s="7">
        <f>0.9*SALES!S7</f>
        <v>391.5</v>
      </c>
      <c r="T7" s="7">
        <f>0.95*SALES!T7</f>
        <v>57</v>
      </c>
      <c r="U7" s="7">
        <f>0.82*SALES!U7</f>
        <v>709.3</v>
      </c>
      <c r="V7" s="27">
        <f t="shared" ref="V7:AE7" si="6">B7*L7</f>
        <v>0</v>
      </c>
      <c r="W7" s="27">
        <f t="shared" si="6"/>
        <v>0</v>
      </c>
      <c r="X7" s="27">
        <f t="shared" si="6"/>
        <v>0</v>
      </c>
      <c r="Y7" s="27">
        <f t="shared" si="6"/>
        <v>0</v>
      </c>
      <c r="Z7" s="27">
        <f t="shared" si="6"/>
        <v>0</v>
      </c>
      <c r="AA7" s="27">
        <f t="shared" si="6"/>
        <v>0</v>
      </c>
      <c r="AB7" s="27">
        <f t="shared" si="6"/>
        <v>0</v>
      </c>
      <c r="AC7" s="27">
        <f t="shared" si="6"/>
        <v>0</v>
      </c>
      <c r="AD7" s="27">
        <f t="shared" si="6"/>
        <v>4560</v>
      </c>
      <c r="AE7" s="27">
        <f t="shared" si="6"/>
        <v>0</v>
      </c>
      <c r="AF7" s="28">
        <f t="shared" si="3"/>
        <v>4560</v>
      </c>
    </row>
    <row r="8" ht="15.75" customHeight="1">
      <c r="A8" s="4">
        <f>DATE(2023,4,6)</f>
        <v>45022</v>
      </c>
      <c r="B8" s="26">
        <v>0.0</v>
      </c>
      <c r="C8" s="26">
        <v>200.0</v>
      </c>
      <c r="D8" s="26">
        <v>50.0</v>
      </c>
      <c r="E8" s="26">
        <v>0.0</v>
      </c>
      <c r="F8" s="26">
        <v>50.0</v>
      </c>
      <c r="G8" s="26">
        <v>50.0</v>
      </c>
      <c r="H8" s="26">
        <v>0.0</v>
      </c>
      <c r="I8" s="26">
        <v>0.0</v>
      </c>
      <c r="J8" s="26">
        <v>70.0</v>
      </c>
      <c r="K8" s="26">
        <v>0.0</v>
      </c>
      <c r="L8" s="7">
        <f>0.9*SALES!L8</f>
        <v>39.6</v>
      </c>
      <c r="M8" s="7">
        <f>0.92*SALES!M8</f>
        <v>37.72</v>
      </c>
      <c r="N8" s="7">
        <f>0.92*SALES!N8</f>
        <v>93.84</v>
      </c>
      <c r="O8" s="7">
        <f>0.9*SALES!O8</f>
        <v>99</v>
      </c>
      <c r="P8" s="7">
        <f>0.92*SALES!P8</f>
        <v>103.04</v>
      </c>
      <c r="Q8" s="7">
        <f>0.94*SALES!Q8</f>
        <v>40.42</v>
      </c>
      <c r="R8" s="7">
        <f>0.94*SALES!R8</f>
        <v>155.1</v>
      </c>
      <c r="S8" s="7">
        <f>0.9*SALES!S8</f>
        <v>391.5</v>
      </c>
      <c r="T8" s="7">
        <f>0.95*SALES!T8</f>
        <v>57</v>
      </c>
      <c r="U8" s="7">
        <f>0.82*SALES!U8</f>
        <v>709.3</v>
      </c>
      <c r="V8" s="27">
        <f t="shared" ref="V8:AE8" si="7">B8*L8</f>
        <v>0</v>
      </c>
      <c r="W8" s="27">
        <f t="shared" si="7"/>
        <v>7544</v>
      </c>
      <c r="X8" s="27">
        <f t="shared" si="7"/>
        <v>4692</v>
      </c>
      <c r="Y8" s="27">
        <f t="shared" si="7"/>
        <v>0</v>
      </c>
      <c r="Z8" s="27">
        <f t="shared" si="7"/>
        <v>5152</v>
      </c>
      <c r="AA8" s="27">
        <f t="shared" si="7"/>
        <v>2021</v>
      </c>
      <c r="AB8" s="27">
        <f t="shared" si="7"/>
        <v>0</v>
      </c>
      <c r="AC8" s="27">
        <f t="shared" si="7"/>
        <v>0</v>
      </c>
      <c r="AD8" s="27">
        <f t="shared" si="7"/>
        <v>3990</v>
      </c>
      <c r="AE8" s="27">
        <f t="shared" si="7"/>
        <v>0</v>
      </c>
      <c r="AF8" s="28">
        <f t="shared" si="3"/>
        <v>23399</v>
      </c>
    </row>
    <row r="9" ht="15.75" customHeight="1">
      <c r="A9" s="4">
        <f>DATE(2023,4,7)</f>
        <v>45023</v>
      </c>
      <c r="B9" s="26">
        <v>0.0</v>
      </c>
      <c r="C9" s="26">
        <v>0.0</v>
      </c>
      <c r="D9" s="26">
        <v>0.0</v>
      </c>
      <c r="E9" s="26">
        <v>50.0</v>
      </c>
      <c r="F9" s="26">
        <v>0.0</v>
      </c>
      <c r="G9" s="26">
        <v>0.0</v>
      </c>
      <c r="H9" s="26">
        <v>0.0</v>
      </c>
      <c r="I9" s="26">
        <v>15.0</v>
      </c>
      <c r="J9" s="26">
        <v>60.0</v>
      </c>
      <c r="K9" s="26">
        <v>0.0</v>
      </c>
      <c r="L9" s="7">
        <f>0.9*SALES!L9</f>
        <v>41.4</v>
      </c>
      <c r="M9" s="7">
        <f>0.92*SALES!M9</f>
        <v>37.72</v>
      </c>
      <c r="N9" s="7">
        <f>0.92*SALES!N9</f>
        <v>95.68</v>
      </c>
      <c r="O9" s="7">
        <f>0.9*SALES!O9</f>
        <v>99</v>
      </c>
      <c r="P9" s="7">
        <f>0.92*SALES!P9</f>
        <v>103.04</v>
      </c>
      <c r="Q9" s="7">
        <f>0.94*SALES!Q9</f>
        <v>40.42</v>
      </c>
      <c r="R9" s="7">
        <f>0.94*SALES!R9</f>
        <v>152.28</v>
      </c>
      <c r="S9" s="7">
        <f>0.9*SALES!S9</f>
        <v>391.5</v>
      </c>
      <c r="T9" s="7">
        <f>0.95*SALES!T9</f>
        <v>57</v>
      </c>
      <c r="U9" s="7">
        <f>0.82*SALES!U9</f>
        <v>709.3</v>
      </c>
      <c r="V9" s="27">
        <f t="shared" ref="V9:AE9" si="8">B9*L9</f>
        <v>0</v>
      </c>
      <c r="W9" s="27">
        <f t="shared" si="8"/>
        <v>0</v>
      </c>
      <c r="X9" s="27">
        <f t="shared" si="8"/>
        <v>0</v>
      </c>
      <c r="Y9" s="27">
        <f t="shared" si="8"/>
        <v>4950</v>
      </c>
      <c r="Z9" s="27">
        <f t="shared" si="8"/>
        <v>0</v>
      </c>
      <c r="AA9" s="27">
        <f t="shared" si="8"/>
        <v>0</v>
      </c>
      <c r="AB9" s="27">
        <f t="shared" si="8"/>
        <v>0</v>
      </c>
      <c r="AC9" s="27">
        <f t="shared" si="8"/>
        <v>5872.5</v>
      </c>
      <c r="AD9" s="27">
        <f t="shared" si="8"/>
        <v>3420</v>
      </c>
      <c r="AE9" s="27">
        <f t="shared" si="8"/>
        <v>0</v>
      </c>
      <c r="AF9" s="28">
        <f t="shared" si="3"/>
        <v>14242.5</v>
      </c>
    </row>
    <row r="10" ht="15.75" customHeight="1">
      <c r="A10" s="4">
        <f>DATE(2023,4,8)</f>
        <v>45024</v>
      </c>
      <c r="B10" s="26">
        <v>0.0</v>
      </c>
      <c r="C10" s="26">
        <v>0.0</v>
      </c>
      <c r="D10" s="26">
        <v>0.0</v>
      </c>
      <c r="E10" s="26">
        <v>0.0</v>
      </c>
      <c r="F10" s="26">
        <v>0.0</v>
      </c>
      <c r="G10" s="26">
        <v>0.0</v>
      </c>
      <c r="H10" s="26">
        <v>0.0</v>
      </c>
      <c r="I10" s="26">
        <v>0.0</v>
      </c>
      <c r="J10" s="26">
        <v>60.0</v>
      </c>
      <c r="K10" s="26">
        <v>0.0</v>
      </c>
      <c r="L10" s="7">
        <f>0.9*SALES!L10</f>
        <v>39.6</v>
      </c>
      <c r="M10" s="7">
        <f>0.92*SALES!M10</f>
        <v>38.64</v>
      </c>
      <c r="N10" s="7">
        <f>0.92*SALES!N10</f>
        <v>95.68</v>
      </c>
      <c r="O10" s="7">
        <f>0.9*SALES!O10</f>
        <v>99</v>
      </c>
      <c r="P10" s="7">
        <f>0.92*SALES!P10</f>
        <v>103.04</v>
      </c>
      <c r="Q10" s="7">
        <f>0.94*SALES!Q10</f>
        <v>40.42</v>
      </c>
      <c r="R10" s="7">
        <f>0.94*SALES!R10</f>
        <v>152.28</v>
      </c>
      <c r="S10" s="7">
        <f>0.9*SALES!S10</f>
        <v>391.5</v>
      </c>
      <c r="T10" s="7">
        <f>0.95*SALES!T10</f>
        <v>57</v>
      </c>
      <c r="U10" s="7">
        <f>0.82*SALES!U10</f>
        <v>709.3</v>
      </c>
      <c r="V10" s="27">
        <f t="shared" ref="V10:AE10" si="9">B10*L10</f>
        <v>0</v>
      </c>
      <c r="W10" s="27">
        <f t="shared" si="9"/>
        <v>0</v>
      </c>
      <c r="X10" s="27">
        <f t="shared" si="9"/>
        <v>0</v>
      </c>
      <c r="Y10" s="27">
        <f t="shared" si="9"/>
        <v>0</v>
      </c>
      <c r="Z10" s="27">
        <f t="shared" si="9"/>
        <v>0</v>
      </c>
      <c r="AA10" s="27">
        <f t="shared" si="9"/>
        <v>0</v>
      </c>
      <c r="AB10" s="27">
        <f t="shared" si="9"/>
        <v>0</v>
      </c>
      <c r="AC10" s="27">
        <f t="shared" si="9"/>
        <v>0</v>
      </c>
      <c r="AD10" s="27">
        <f t="shared" si="9"/>
        <v>3420</v>
      </c>
      <c r="AE10" s="27">
        <f t="shared" si="9"/>
        <v>0</v>
      </c>
      <c r="AF10" s="28">
        <f t="shared" si="3"/>
        <v>3420</v>
      </c>
    </row>
    <row r="11" ht="15.75" customHeight="1">
      <c r="A11" s="4">
        <f>DATE(2023,4,9)</f>
        <v>45025</v>
      </c>
      <c r="B11" s="26">
        <v>0.0</v>
      </c>
      <c r="C11" s="26">
        <v>0.0</v>
      </c>
      <c r="D11" s="26">
        <v>0.0</v>
      </c>
      <c r="E11" s="26">
        <v>0.0</v>
      </c>
      <c r="F11" s="26">
        <v>0.0</v>
      </c>
      <c r="G11" s="26">
        <v>0.0</v>
      </c>
      <c r="H11" s="26">
        <v>20.0</v>
      </c>
      <c r="I11" s="26">
        <v>0.0</v>
      </c>
      <c r="J11" s="26">
        <v>80.0</v>
      </c>
      <c r="K11" s="26">
        <v>0.0</v>
      </c>
      <c r="L11" s="7">
        <f>0.9*SALES!L11</f>
        <v>39.6</v>
      </c>
      <c r="M11" s="7">
        <f>0.92*SALES!M11</f>
        <v>38.64</v>
      </c>
      <c r="N11" s="7">
        <f>0.92*SALES!N11</f>
        <v>95.68</v>
      </c>
      <c r="O11" s="7">
        <f>0.9*SALES!O11</f>
        <v>99</v>
      </c>
      <c r="P11" s="7">
        <f>0.92*SALES!P11</f>
        <v>103.04</v>
      </c>
      <c r="Q11" s="7">
        <f>0.94*SALES!Q11</f>
        <v>40.42</v>
      </c>
      <c r="R11" s="7">
        <f>0.94*SALES!R11</f>
        <v>152.28</v>
      </c>
      <c r="S11" s="7">
        <f>0.9*SALES!S11</f>
        <v>391.5</v>
      </c>
      <c r="T11" s="7">
        <f>0.95*SALES!T11</f>
        <v>57</v>
      </c>
      <c r="U11" s="7">
        <f>0.82*SALES!U11</f>
        <v>709.3</v>
      </c>
      <c r="V11" s="27">
        <f t="shared" ref="V11:AE11" si="10">B11*L11</f>
        <v>0</v>
      </c>
      <c r="W11" s="27">
        <f t="shared" si="10"/>
        <v>0</v>
      </c>
      <c r="X11" s="27">
        <f t="shared" si="10"/>
        <v>0</v>
      </c>
      <c r="Y11" s="27">
        <f t="shared" si="10"/>
        <v>0</v>
      </c>
      <c r="Z11" s="27">
        <f t="shared" si="10"/>
        <v>0</v>
      </c>
      <c r="AA11" s="27">
        <f t="shared" si="10"/>
        <v>0</v>
      </c>
      <c r="AB11" s="27">
        <f t="shared" si="10"/>
        <v>3045.6</v>
      </c>
      <c r="AC11" s="27">
        <f t="shared" si="10"/>
        <v>0</v>
      </c>
      <c r="AD11" s="27">
        <f t="shared" si="10"/>
        <v>4560</v>
      </c>
      <c r="AE11" s="27">
        <f t="shared" si="10"/>
        <v>0</v>
      </c>
      <c r="AF11" s="28">
        <f t="shared" si="3"/>
        <v>7605.6</v>
      </c>
    </row>
    <row r="12" ht="15.75" customHeight="1">
      <c r="A12" s="4">
        <f>DATE(2023,4,10)</f>
        <v>45026</v>
      </c>
      <c r="B12" s="26">
        <v>0.0</v>
      </c>
      <c r="C12" s="26">
        <v>0.0</v>
      </c>
      <c r="D12" s="26">
        <v>0.0</v>
      </c>
      <c r="E12" s="26">
        <v>0.0</v>
      </c>
      <c r="F12" s="26">
        <v>0.0</v>
      </c>
      <c r="G12" s="26">
        <v>0.0</v>
      </c>
      <c r="H12" s="26">
        <v>0.0</v>
      </c>
      <c r="I12" s="26">
        <v>0.0</v>
      </c>
      <c r="J12" s="26">
        <v>60.0</v>
      </c>
      <c r="K12" s="26">
        <v>0.0</v>
      </c>
      <c r="L12" s="7">
        <f>0.9*SALES!L12</f>
        <v>39.6</v>
      </c>
      <c r="M12" s="7">
        <f>0.92*SALES!M12</f>
        <v>38.64</v>
      </c>
      <c r="N12" s="7">
        <f>0.92*SALES!N12</f>
        <v>95.68</v>
      </c>
      <c r="O12" s="7">
        <f>0.9*SALES!O12</f>
        <v>99</v>
      </c>
      <c r="P12" s="7">
        <f>0.92*SALES!P12</f>
        <v>103.04</v>
      </c>
      <c r="Q12" s="7">
        <f>0.94*SALES!Q12</f>
        <v>40.42</v>
      </c>
      <c r="R12" s="7">
        <f>0.94*SALES!R12</f>
        <v>152.28</v>
      </c>
      <c r="S12" s="7">
        <f>0.9*SALES!S12</f>
        <v>391.5</v>
      </c>
      <c r="T12" s="7">
        <f>0.95*SALES!T12</f>
        <v>57</v>
      </c>
      <c r="U12" s="7">
        <f>0.82*SALES!U12</f>
        <v>709.3</v>
      </c>
      <c r="V12" s="27">
        <f t="shared" ref="V12:AE12" si="11">B12*L12</f>
        <v>0</v>
      </c>
      <c r="W12" s="27">
        <f t="shared" si="11"/>
        <v>0</v>
      </c>
      <c r="X12" s="27">
        <f t="shared" si="11"/>
        <v>0</v>
      </c>
      <c r="Y12" s="27">
        <f t="shared" si="11"/>
        <v>0</v>
      </c>
      <c r="Z12" s="27">
        <f t="shared" si="11"/>
        <v>0</v>
      </c>
      <c r="AA12" s="27">
        <f t="shared" si="11"/>
        <v>0</v>
      </c>
      <c r="AB12" s="27">
        <f t="shared" si="11"/>
        <v>0</v>
      </c>
      <c r="AC12" s="27">
        <f t="shared" si="11"/>
        <v>0</v>
      </c>
      <c r="AD12" s="27">
        <f t="shared" si="11"/>
        <v>3420</v>
      </c>
      <c r="AE12" s="27">
        <f t="shared" si="11"/>
        <v>0</v>
      </c>
      <c r="AF12" s="28">
        <f t="shared" si="3"/>
        <v>3420</v>
      </c>
    </row>
    <row r="13" ht="15.75" customHeight="1">
      <c r="A13" s="4">
        <f>DATE(2023,4,11)</f>
        <v>45027</v>
      </c>
      <c r="B13" s="26">
        <v>0.0</v>
      </c>
      <c r="C13" s="26">
        <v>0.0</v>
      </c>
      <c r="D13" s="26">
        <v>0.0</v>
      </c>
      <c r="E13" s="26">
        <v>0.0</v>
      </c>
      <c r="F13" s="26">
        <v>0.0</v>
      </c>
      <c r="G13" s="26">
        <v>0.0</v>
      </c>
      <c r="H13" s="26">
        <v>0.0</v>
      </c>
      <c r="I13" s="26">
        <v>0.0</v>
      </c>
      <c r="J13" s="26">
        <v>60.0</v>
      </c>
      <c r="K13" s="26">
        <v>0.0</v>
      </c>
      <c r="L13" s="7">
        <f>0.9*SALES!L13</f>
        <v>37.8</v>
      </c>
      <c r="M13" s="7">
        <f>0.92*SALES!M13</f>
        <v>38.64</v>
      </c>
      <c r="N13" s="7">
        <f>0.92*SALES!N13</f>
        <v>95.68</v>
      </c>
      <c r="O13" s="7">
        <f>0.9*SALES!O13</f>
        <v>99</v>
      </c>
      <c r="P13" s="7">
        <f>0.92*SALES!P13</f>
        <v>99.36</v>
      </c>
      <c r="Q13" s="7">
        <f>0.94*SALES!Q13</f>
        <v>40.42</v>
      </c>
      <c r="R13" s="7">
        <f>0.94*SALES!R13</f>
        <v>148.52</v>
      </c>
      <c r="S13" s="7">
        <f>0.9*SALES!S13</f>
        <v>391.5</v>
      </c>
      <c r="T13" s="7">
        <f>0.95*SALES!T13</f>
        <v>57</v>
      </c>
      <c r="U13" s="7">
        <f>0.82*SALES!U13</f>
        <v>709.3</v>
      </c>
      <c r="V13" s="27">
        <f t="shared" ref="V13:AE13" si="12">B13*L13</f>
        <v>0</v>
      </c>
      <c r="W13" s="27">
        <f t="shared" si="12"/>
        <v>0</v>
      </c>
      <c r="X13" s="27">
        <f t="shared" si="12"/>
        <v>0</v>
      </c>
      <c r="Y13" s="27">
        <f t="shared" si="12"/>
        <v>0</v>
      </c>
      <c r="Z13" s="27">
        <f t="shared" si="12"/>
        <v>0</v>
      </c>
      <c r="AA13" s="27">
        <f t="shared" si="12"/>
        <v>0</v>
      </c>
      <c r="AB13" s="27">
        <f t="shared" si="12"/>
        <v>0</v>
      </c>
      <c r="AC13" s="27">
        <f t="shared" si="12"/>
        <v>0</v>
      </c>
      <c r="AD13" s="27">
        <f t="shared" si="12"/>
        <v>3420</v>
      </c>
      <c r="AE13" s="27">
        <f t="shared" si="12"/>
        <v>0</v>
      </c>
      <c r="AF13" s="28">
        <f t="shared" si="3"/>
        <v>3420</v>
      </c>
    </row>
    <row r="14" ht="15.75" customHeight="1">
      <c r="A14" s="4">
        <f>DATE(2023,4,12)</f>
        <v>45028</v>
      </c>
      <c r="B14" s="26">
        <v>0.0</v>
      </c>
      <c r="C14" s="26">
        <v>0.0</v>
      </c>
      <c r="D14" s="26">
        <v>0.0</v>
      </c>
      <c r="E14" s="26">
        <v>0.0</v>
      </c>
      <c r="F14" s="26">
        <v>0.0</v>
      </c>
      <c r="G14" s="26">
        <v>0.0</v>
      </c>
      <c r="H14" s="26">
        <v>0.0</v>
      </c>
      <c r="I14" s="26">
        <v>0.0</v>
      </c>
      <c r="J14" s="26">
        <v>60.0</v>
      </c>
      <c r="K14" s="26">
        <v>0.0</v>
      </c>
      <c r="L14" s="7">
        <f>0.9*SALES!L14</f>
        <v>37.8</v>
      </c>
      <c r="M14" s="7">
        <f>0.92*SALES!M14</f>
        <v>38.64</v>
      </c>
      <c r="N14" s="7">
        <f>0.92*SALES!N14</f>
        <v>95.68</v>
      </c>
      <c r="O14" s="7">
        <f>0.9*SALES!O14</f>
        <v>99</v>
      </c>
      <c r="P14" s="7">
        <f>0.92*SALES!P14</f>
        <v>99.36</v>
      </c>
      <c r="Q14" s="7">
        <f>0.94*SALES!Q14</f>
        <v>40.42</v>
      </c>
      <c r="R14" s="7">
        <f>0.94*SALES!R14</f>
        <v>148.52</v>
      </c>
      <c r="S14" s="7">
        <f>0.9*SALES!S14</f>
        <v>391.5</v>
      </c>
      <c r="T14" s="7">
        <f>0.95*SALES!T14</f>
        <v>57</v>
      </c>
      <c r="U14" s="7">
        <f>0.82*SALES!U14</f>
        <v>709.3</v>
      </c>
      <c r="V14" s="27">
        <f t="shared" ref="V14:AE14" si="13">B14*L14</f>
        <v>0</v>
      </c>
      <c r="W14" s="27">
        <f t="shared" si="13"/>
        <v>0</v>
      </c>
      <c r="X14" s="27">
        <f t="shared" si="13"/>
        <v>0</v>
      </c>
      <c r="Y14" s="27">
        <f t="shared" si="13"/>
        <v>0</v>
      </c>
      <c r="Z14" s="27">
        <f t="shared" si="13"/>
        <v>0</v>
      </c>
      <c r="AA14" s="27">
        <f t="shared" si="13"/>
        <v>0</v>
      </c>
      <c r="AB14" s="27">
        <f t="shared" si="13"/>
        <v>0</v>
      </c>
      <c r="AC14" s="27">
        <f t="shared" si="13"/>
        <v>0</v>
      </c>
      <c r="AD14" s="27">
        <f t="shared" si="13"/>
        <v>3420</v>
      </c>
      <c r="AE14" s="27">
        <f t="shared" si="13"/>
        <v>0</v>
      </c>
      <c r="AF14" s="28">
        <f t="shared" si="3"/>
        <v>3420</v>
      </c>
    </row>
    <row r="15" ht="15.75" customHeight="1">
      <c r="A15" s="4">
        <f>DATE(2023,4,13)</f>
        <v>45029</v>
      </c>
      <c r="B15" s="26">
        <v>0.0</v>
      </c>
      <c r="C15" s="26">
        <v>0.0</v>
      </c>
      <c r="D15" s="26">
        <v>0.0</v>
      </c>
      <c r="E15" s="26">
        <v>0.0</v>
      </c>
      <c r="F15" s="26">
        <v>0.0</v>
      </c>
      <c r="G15" s="26">
        <v>0.0</v>
      </c>
      <c r="H15" s="26">
        <v>0.0</v>
      </c>
      <c r="I15" s="26">
        <v>0.0</v>
      </c>
      <c r="J15" s="26">
        <v>60.0</v>
      </c>
      <c r="K15" s="26">
        <v>0.0</v>
      </c>
      <c r="L15" s="7">
        <f>0.9*SALES!L15</f>
        <v>37.8</v>
      </c>
      <c r="M15" s="7">
        <f>0.92*SALES!M15</f>
        <v>38.64</v>
      </c>
      <c r="N15" s="7">
        <f>0.92*SALES!N15</f>
        <v>95.68</v>
      </c>
      <c r="O15" s="7">
        <f>0.9*SALES!O15</f>
        <v>99</v>
      </c>
      <c r="P15" s="7">
        <f>0.92*SALES!P15</f>
        <v>99.36</v>
      </c>
      <c r="Q15" s="7">
        <f>0.94*SALES!Q15</f>
        <v>40.42</v>
      </c>
      <c r="R15" s="7">
        <f>0.94*SALES!R15</f>
        <v>148.52</v>
      </c>
      <c r="S15" s="7">
        <f>0.9*SALES!S15</f>
        <v>391.5</v>
      </c>
      <c r="T15" s="7">
        <f>0.95*SALES!T15</f>
        <v>57</v>
      </c>
      <c r="U15" s="7">
        <f>0.82*SALES!U15</f>
        <v>709.3</v>
      </c>
      <c r="V15" s="27">
        <f t="shared" ref="V15:AE15" si="14">B15*L15</f>
        <v>0</v>
      </c>
      <c r="W15" s="27">
        <f t="shared" si="14"/>
        <v>0</v>
      </c>
      <c r="X15" s="27">
        <f t="shared" si="14"/>
        <v>0</v>
      </c>
      <c r="Y15" s="27">
        <f t="shared" si="14"/>
        <v>0</v>
      </c>
      <c r="Z15" s="27">
        <f t="shared" si="14"/>
        <v>0</v>
      </c>
      <c r="AA15" s="27">
        <f t="shared" si="14"/>
        <v>0</v>
      </c>
      <c r="AB15" s="27">
        <f t="shared" si="14"/>
        <v>0</v>
      </c>
      <c r="AC15" s="27">
        <f t="shared" si="14"/>
        <v>0</v>
      </c>
      <c r="AD15" s="27">
        <f t="shared" si="14"/>
        <v>3420</v>
      </c>
      <c r="AE15" s="27">
        <f t="shared" si="14"/>
        <v>0</v>
      </c>
      <c r="AF15" s="28">
        <f t="shared" si="3"/>
        <v>3420</v>
      </c>
    </row>
    <row r="16" ht="15.75" customHeight="1">
      <c r="A16" s="4">
        <f>DATE(2023,4,14)</f>
        <v>45030</v>
      </c>
      <c r="B16" s="26">
        <v>400.0</v>
      </c>
      <c r="C16" s="26">
        <v>100.0</v>
      </c>
      <c r="D16" s="26">
        <v>50.0</v>
      </c>
      <c r="E16" s="26">
        <v>50.0</v>
      </c>
      <c r="F16" s="26">
        <v>50.0</v>
      </c>
      <c r="G16" s="26">
        <v>50.0</v>
      </c>
      <c r="H16" s="26">
        <v>40.0</v>
      </c>
      <c r="I16" s="26">
        <v>20.0</v>
      </c>
      <c r="J16" s="26">
        <v>65.0</v>
      </c>
      <c r="K16" s="26">
        <v>0.0</v>
      </c>
      <c r="L16" s="7">
        <f>0.9*SALES!L16</f>
        <v>39.6</v>
      </c>
      <c r="M16" s="7">
        <f>0.92*SALES!M16</f>
        <v>37.72</v>
      </c>
      <c r="N16" s="7">
        <f>0.92*SALES!N16</f>
        <v>99.36</v>
      </c>
      <c r="O16" s="7">
        <f>0.9*SALES!O16</f>
        <v>99</v>
      </c>
      <c r="P16" s="7">
        <f>0.92*SALES!P16</f>
        <v>102.12</v>
      </c>
      <c r="Q16" s="7">
        <f>0.94*SALES!Q16</f>
        <v>40.42</v>
      </c>
      <c r="R16" s="7">
        <f>0.94*SALES!R16</f>
        <v>148.52</v>
      </c>
      <c r="S16" s="7">
        <f>0.9*SALES!S16</f>
        <v>391.5</v>
      </c>
      <c r="T16" s="7">
        <f>0.95*SALES!T16</f>
        <v>57</v>
      </c>
      <c r="U16" s="7">
        <f>0.82*SALES!U16</f>
        <v>709.3</v>
      </c>
      <c r="V16" s="27">
        <f t="shared" ref="V16:AE16" si="15">B16*L16</f>
        <v>15840</v>
      </c>
      <c r="W16" s="27">
        <f t="shared" si="15"/>
        <v>3772</v>
      </c>
      <c r="X16" s="27">
        <f t="shared" si="15"/>
        <v>4968</v>
      </c>
      <c r="Y16" s="27">
        <f t="shared" si="15"/>
        <v>4950</v>
      </c>
      <c r="Z16" s="27">
        <f t="shared" si="15"/>
        <v>5106</v>
      </c>
      <c r="AA16" s="27">
        <f t="shared" si="15"/>
        <v>2021</v>
      </c>
      <c r="AB16" s="27">
        <f t="shared" si="15"/>
        <v>5940.8</v>
      </c>
      <c r="AC16" s="27">
        <f t="shared" si="15"/>
        <v>7830</v>
      </c>
      <c r="AD16" s="27">
        <f t="shared" si="15"/>
        <v>3705</v>
      </c>
      <c r="AE16" s="27">
        <f t="shared" si="15"/>
        <v>0</v>
      </c>
      <c r="AF16" s="28">
        <f t="shared" si="3"/>
        <v>54132.8</v>
      </c>
    </row>
    <row r="17" ht="15.75" customHeight="1">
      <c r="A17" s="4">
        <f>DATE(2023,4,15)</f>
        <v>45031</v>
      </c>
      <c r="B17" s="26">
        <v>0.0</v>
      </c>
      <c r="C17" s="26">
        <v>0.0</v>
      </c>
      <c r="D17" s="26">
        <v>0.0</v>
      </c>
      <c r="E17" s="26">
        <v>0.0</v>
      </c>
      <c r="F17" s="26">
        <v>0.0</v>
      </c>
      <c r="G17" s="26">
        <v>0.0</v>
      </c>
      <c r="H17" s="26">
        <v>0.0</v>
      </c>
      <c r="I17" s="26">
        <v>0.0</v>
      </c>
      <c r="J17" s="26">
        <v>60.0</v>
      </c>
      <c r="K17" s="26">
        <v>0.0</v>
      </c>
      <c r="L17" s="7">
        <f>0.9*SALES!L17</f>
        <v>39.6</v>
      </c>
      <c r="M17" s="7">
        <f>0.92*SALES!M17</f>
        <v>37.72</v>
      </c>
      <c r="N17" s="7">
        <f>0.92*SALES!N17</f>
        <v>99.36</v>
      </c>
      <c r="O17" s="7">
        <f>0.9*SALES!O17</f>
        <v>99</v>
      </c>
      <c r="P17" s="7">
        <f>0.92*SALES!P17</f>
        <v>102.12</v>
      </c>
      <c r="Q17" s="7">
        <f>0.94*SALES!Q17</f>
        <v>40.42</v>
      </c>
      <c r="R17" s="7">
        <f>0.94*SALES!R17</f>
        <v>148.52</v>
      </c>
      <c r="S17" s="7">
        <f>0.9*SALES!S17</f>
        <v>391.5</v>
      </c>
      <c r="T17" s="7">
        <f>0.95*SALES!T17</f>
        <v>57</v>
      </c>
      <c r="U17" s="7">
        <f>0.82*SALES!U17</f>
        <v>709.3</v>
      </c>
      <c r="V17" s="27">
        <f t="shared" ref="V17:AE17" si="16">B17*L17</f>
        <v>0</v>
      </c>
      <c r="W17" s="27">
        <f t="shared" si="16"/>
        <v>0</v>
      </c>
      <c r="X17" s="27">
        <f t="shared" si="16"/>
        <v>0</v>
      </c>
      <c r="Y17" s="27">
        <f t="shared" si="16"/>
        <v>0</v>
      </c>
      <c r="Z17" s="27">
        <f t="shared" si="16"/>
        <v>0</v>
      </c>
      <c r="AA17" s="27">
        <f t="shared" si="16"/>
        <v>0</v>
      </c>
      <c r="AB17" s="27">
        <f t="shared" si="16"/>
        <v>0</v>
      </c>
      <c r="AC17" s="27">
        <f t="shared" si="16"/>
        <v>0</v>
      </c>
      <c r="AD17" s="27">
        <f t="shared" si="16"/>
        <v>3420</v>
      </c>
      <c r="AE17" s="27">
        <f t="shared" si="16"/>
        <v>0</v>
      </c>
      <c r="AF17" s="28">
        <f t="shared" si="3"/>
        <v>3420</v>
      </c>
    </row>
    <row r="18" ht="15.75" customHeight="1">
      <c r="A18" s="4">
        <f>DATE(2023,4,16)</f>
        <v>45032</v>
      </c>
      <c r="B18" s="26">
        <v>0.0</v>
      </c>
      <c r="C18" s="26">
        <v>0.0</v>
      </c>
      <c r="D18" s="26">
        <v>0.0</v>
      </c>
      <c r="E18" s="26">
        <v>0.0</v>
      </c>
      <c r="F18" s="26">
        <v>0.0</v>
      </c>
      <c r="G18" s="26">
        <v>0.0</v>
      </c>
      <c r="H18" s="26">
        <v>0.0</v>
      </c>
      <c r="I18" s="26">
        <v>0.0</v>
      </c>
      <c r="J18" s="26">
        <v>55.0</v>
      </c>
      <c r="K18" s="26">
        <v>0.0</v>
      </c>
      <c r="L18" s="7">
        <f>0.9*SALES!L18</f>
        <v>39.6</v>
      </c>
      <c r="M18" s="7">
        <f>0.92*SALES!M18</f>
        <v>37.72</v>
      </c>
      <c r="N18" s="7">
        <f>0.92*SALES!N18</f>
        <v>99.36</v>
      </c>
      <c r="O18" s="7">
        <f>0.9*SALES!O18</f>
        <v>99</v>
      </c>
      <c r="P18" s="7">
        <f>0.92*SALES!P18</f>
        <v>102.12</v>
      </c>
      <c r="Q18" s="7">
        <f>0.94*SALES!Q18</f>
        <v>40.42</v>
      </c>
      <c r="R18" s="7">
        <f>0.94*SALES!R18</f>
        <v>148.52</v>
      </c>
      <c r="S18" s="7">
        <f>0.9*SALES!S18</f>
        <v>391.5</v>
      </c>
      <c r="T18" s="7">
        <f>0.95*SALES!T18</f>
        <v>57</v>
      </c>
      <c r="U18" s="7">
        <f>0.82*SALES!U18</f>
        <v>709.3</v>
      </c>
      <c r="V18" s="27">
        <f t="shared" ref="V18:AE18" si="17">B18*L18</f>
        <v>0</v>
      </c>
      <c r="W18" s="27">
        <f t="shared" si="17"/>
        <v>0</v>
      </c>
      <c r="X18" s="27">
        <f t="shared" si="17"/>
        <v>0</v>
      </c>
      <c r="Y18" s="27">
        <f t="shared" si="17"/>
        <v>0</v>
      </c>
      <c r="Z18" s="27">
        <f t="shared" si="17"/>
        <v>0</v>
      </c>
      <c r="AA18" s="27">
        <f t="shared" si="17"/>
        <v>0</v>
      </c>
      <c r="AB18" s="27">
        <f t="shared" si="17"/>
        <v>0</v>
      </c>
      <c r="AC18" s="27">
        <f t="shared" si="17"/>
        <v>0</v>
      </c>
      <c r="AD18" s="27">
        <f t="shared" si="17"/>
        <v>3135</v>
      </c>
      <c r="AE18" s="27">
        <f t="shared" si="17"/>
        <v>0</v>
      </c>
      <c r="AF18" s="28">
        <f t="shared" si="3"/>
        <v>3135</v>
      </c>
    </row>
    <row r="19" ht="15.75" customHeight="1">
      <c r="A19" s="4">
        <f>DATE(2023,4,17)</f>
        <v>45033</v>
      </c>
      <c r="B19" s="26">
        <v>0.0</v>
      </c>
      <c r="C19" s="26">
        <v>0.0</v>
      </c>
      <c r="D19" s="26">
        <v>0.0</v>
      </c>
      <c r="E19" s="26">
        <v>0.0</v>
      </c>
      <c r="F19" s="26">
        <v>0.0</v>
      </c>
      <c r="G19" s="26">
        <v>0.0</v>
      </c>
      <c r="H19" s="26">
        <v>0.0</v>
      </c>
      <c r="I19" s="26">
        <v>0.0</v>
      </c>
      <c r="J19" s="26">
        <v>55.0</v>
      </c>
      <c r="K19" s="26">
        <v>0.0</v>
      </c>
      <c r="L19" s="7">
        <f>0.9*SALES!L19</f>
        <v>40.5</v>
      </c>
      <c r="M19" s="7">
        <f>0.92*SALES!M19</f>
        <v>37.72</v>
      </c>
      <c r="N19" s="7">
        <f>0.92*SALES!N19</f>
        <v>99.36</v>
      </c>
      <c r="O19" s="7">
        <f>0.9*SALES!O19</f>
        <v>99</v>
      </c>
      <c r="P19" s="7">
        <f>0.92*SALES!P19</f>
        <v>102.12</v>
      </c>
      <c r="Q19" s="7">
        <f>0.94*SALES!Q19</f>
        <v>40.42</v>
      </c>
      <c r="R19" s="7">
        <f>0.94*SALES!R19</f>
        <v>148.52</v>
      </c>
      <c r="S19" s="7">
        <f>0.9*SALES!S19</f>
        <v>391.5</v>
      </c>
      <c r="T19" s="7">
        <f>0.95*SALES!T19</f>
        <v>56.05</v>
      </c>
      <c r="U19" s="7">
        <f>0.82*SALES!U19</f>
        <v>709.3</v>
      </c>
      <c r="V19" s="27">
        <f t="shared" ref="V19:AE19" si="18">B19*L19</f>
        <v>0</v>
      </c>
      <c r="W19" s="27">
        <f t="shared" si="18"/>
        <v>0</v>
      </c>
      <c r="X19" s="27">
        <f t="shared" si="18"/>
        <v>0</v>
      </c>
      <c r="Y19" s="27">
        <f t="shared" si="18"/>
        <v>0</v>
      </c>
      <c r="Z19" s="27">
        <f t="shared" si="18"/>
        <v>0</v>
      </c>
      <c r="AA19" s="27">
        <f t="shared" si="18"/>
        <v>0</v>
      </c>
      <c r="AB19" s="27">
        <f t="shared" si="18"/>
        <v>0</v>
      </c>
      <c r="AC19" s="27">
        <f t="shared" si="18"/>
        <v>0</v>
      </c>
      <c r="AD19" s="27">
        <f t="shared" si="18"/>
        <v>3082.75</v>
      </c>
      <c r="AE19" s="27">
        <f t="shared" si="18"/>
        <v>0</v>
      </c>
      <c r="AF19" s="28">
        <f t="shared" si="3"/>
        <v>3082.75</v>
      </c>
    </row>
    <row r="20" ht="15.75" customHeight="1">
      <c r="A20" s="4">
        <f>DATE(2023,4,18)</f>
        <v>45034</v>
      </c>
      <c r="B20" s="26">
        <v>0.0</v>
      </c>
      <c r="C20" s="26">
        <v>0.0</v>
      </c>
      <c r="D20" s="26">
        <v>0.0</v>
      </c>
      <c r="E20" s="26">
        <v>0.0</v>
      </c>
      <c r="F20" s="26">
        <v>0.0</v>
      </c>
      <c r="G20" s="26">
        <v>0.0</v>
      </c>
      <c r="H20" s="26">
        <v>0.0</v>
      </c>
      <c r="I20" s="26">
        <v>0.0</v>
      </c>
      <c r="J20" s="26">
        <v>55.0</v>
      </c>
      <c r="K20" s="26">
        <v>0.0</v>
      </c>
      <c r="L20" s="7">
        <f>0.9*SALES!L20</f>
        <v>40.5</v>
      </c>
      <c r="M20" s="7">
        <f>0.92*SALES!M20</f>
        <v>37.72</v>
      </c>
      <c r="N20" s="7">
        <f>0.92*SALES!N20</f>
        <v>99.36</v>
      </c>
      <c r="O20" s="7">
        <f>0.9*SALES!O20</f>
        <v>99</v>
      </c>
      <c r="P20" s="7">
        <f>0.92*SALES!P20</f>
        <v>102.12</v>
      </c>
      <c r="Q20" s="7">
        <f>0.94*SALES!Q20</f>
        <v>41.36</v>
      </c>
      <c r="R20" s="7">
        <f>0.94*SALES!R20</f>
        <v>148.52</v>
      </c>
      <c r="S20" s="7">
        <f>0.9*SALES!S20</f>
        <v>391.5</v>
      </c>
      <c r="T20" s="7">
        <f>0.95*SALES!T20</f>
        <v>56.05</v>
      </c>
      <c r="U20" s="7">
        <f>0.82*SALES!U20</f>
        <v>709.3</v>
      </c>
      <c r="V20" s="27">
        <f t="shared" ref="V20:AE20" si="19">B20*L20</f>
        <v>0</v>
      </c>
      <c r="W20" s="27">
        <f t="shared" si="19"/>
        <v>0</v>
      </c>
      <c r="X20" s="27">
        <f t="shared" si="19"/>
        <v>0</v>
      </c>
      <c r="Y20" s="27">
        <f t="shared" si="19"/>
        <v>0</v>
      </c>
      <c r="Z20" s="27">
        <f t="shared" si="19"/>
        <v>0</v>
      </c>
      <c r="AA20" s="27">
        <f t="shared" si="19"/>
        <v>0</v>
      </c>
      <c r="AB20" s="27">
        <f t="shared" si="19"/>
        <v>0</v>
      </c>
      <c r="AC20" s="27">
        <f t="shared" si="19"/>
        <v>0</v>
      </c>
      <c r="AD20" s="27">
        <f t="shared" si="19"/>
        <v>3082.75</v>
      </c>
      <c r="AE20" s="27">
        <f t="shared" si="19"/>
        <v>0</v>
      </c>
      <c r="AF20" s="28">
        <f t="shared" si="3"/>
        <v>3082.75</v>
      </c>
    </row>
    <row r="21" ht="15.75" customHeight="1">
      <c r="A21" s="4">
        <f>DATE(2023,4,19)</f>
        <v>45035</v>
      </c>
      <c r="B21" s="26">
        <v>0.0</v>
      </c>
      <c r="C21" s="26">
        <v>500.0</v>
      </c>
      <c r="D21" s="26">
        <v>0.0</v>
      </c>
      <c r="E21" s="26">
        <v>0.0</v>
      </c>
      <c r="F21" s="26">
        <v>0.0</v>
      </c>
      <c r="G21" s="26">
        <v>120.0</v>
      </c>
      <c r="H21" s="26">
        <v>0.0</v>
      </c>
      <c r="I21" s="26">
        <v>0.0</v>
      </c>
      <c r="J21" s="26">
        <v>55.0</v>
      </c>
      <c r="K21" s="26">
        <v>16.0</v>
      </c>
      <c r="L21" s="7">
        <f>0.9*SALES!L21</f>
        <v>38.7</v>
      </c>
      <c r="M21" s="7">
        <f>0.92*SALES!M21</f>
        <v>37.72</v>
      </c>
      <c r="N21" s="7">
        <f>0.92*SALES!N21</f>
        <v>99.36</v>
      </c>
      <c r="O21" s="7">
        <f>0.9*SALES!O21</f>
        <v>99</v>
      </c>
      <c r="P21" s="7">
        <f>0.92*SALES!P21</f>
        <v>102.12</v>
      </c>
      <c r="Q21" s="7">
        <f>0.94*SALES!Q21</f>
        <v>44.18</v>
      </c>
      <c r="R21" s="7">
        <f>0.94*SALES!R21</f>
        <v>148.52</v>
      </c>
      <c r="S21" s="7">
        <f>0.9*SALES!S21</f>
        <v>391.5</v>
      </c>
      <c r="T21" s="7">
        <f>0.95*SALES!T21</f>
        <v>56.05</v>
      </c>
      <c r="U21" s="7">
        <f>0.82*SALES!U21</f>
        <v>729.8</v>
      </c>
      <c r="V21" s="27">
        <f t="shared" ref="V21:AE21" si="20">B21*L21</f>
        <v>0</v>
      </c>
      <c r="W21" s="27">
        <f t="shared" si="20"/>
        <v>18860</v>
      </c>
      <c r="X21" s="27">
        <f t="shared" si="20"/>
        <v>0</v>
      </c>
      <c r="Y21" s="27">
        <f t="shared" si="20"/>
        <v>0</v>
      </c>
      <c r="Z21" s="27">
        <f t="shared" si="20"/>
        <v>0</v>
      </c>
      <c r="AA21" s="27">
        <f t="shared" si="20"/>
        <v>5301.6</v>
      </c>
      <c r="AB21" s="27">
        <f t="shared" si="20"/>
        <v>0</v>
      </c>
      <c r="AC21" s="27">
        <f t="shared" si="20"/>
        <v>0</v>
      </c>
      <c r="AD21" s="27">
        <f t="shared" si="20"/>
        <v>3082.75</v>
      </c>
      <c r="AE21" s="27">
        <f t="shared" si="20"/>
        <v>11676.8</v>
      </c>
      <c r="AF21" s="28">
        <f t="shared" si="3"/>
        <v>38921.15</v>
      </c>
    </row>
    <row r="22" ht="15.75" customHeight="1">
      <c r="A22" s="4">
        <f>DATE(2023,4,20)</f>
        <v>45036</v>
      </c>
      <c r="B22" s="26">
        <v>900.0</v>
      </c>
      <c r="C22" s="26">
        <v>0.0</v>
      </c>
      <c r="D22" s="26">
        <v>140.0</v>
      </c>
      <c r="E22" s="26">
        <v>60.0</v>
      </c>
      <c r="F22" s="26">
        <v>100.0</v>
      </c>
      <c r="G22" s="26">
        <v>160.0</v>
      </c>
      <c r="H22" s="26">
        <v>0.0</v>
      </c>
      <c r="I22" s="26">
        <v>0.0</v>
      </c>
      <c r="J22" s="26">
        <v>55.0</v>
      </c>
      <c r="K22" s="26">
        <v>0.0</v>
      </c>
      <c r="L22" s="7">
        <f>0.9*SALES!L22</f>
        <v>40.5</v>
      </c>
      <c r="M22" s="7">
        <f>0.92*SALES!M22</f>
        <v>37.72</v>
      </c>
      <c r="N22" s="7">
        <f>0.92*SALES!N22</f>
        <v>95.68</v>
      </c>
      <c r="O22" s="7">
        <f>0.9*SALES!O22</f>
        <v>101.7</v>
      </c>
      <c r="P22" s="7">
        <f>0.92*SALES!P22</f>
        <v>112.24</v>
      </c>
      <c r="Q22" s="7">
        <f>0.94*SALES!Q22</f>
        <v>42.3</v>
      </c>
      <c r="R22" s="7">
        <f>0.94*SALES!R22</f>
        <v>148.52</v>
      </c>
      <c r="S22" s="7">
        <f>0.9*SALES!S22</f>
        <v>391.5</v>
      </c>
      <c r="T22" s="7">
        <f>0.95*SALES!T22</f>
        <v>56.05</v>
      </c>
      <c r="U22" s="7">
        <f>0.82*SALES!U22</f>
        <v>729.8</v>
      </c>
      <c r="V22" s="27">
        <f t="shared" ref="V22:AE22" si="21">B22*L22</f>
        <v>36450</v>
      </c>
      <c r="W22" s="27">
        <f t="shared" si="21"/>
        <v>0</v>
      </c>
      <c r="X22" s="27">
        <f t="shared" si="21"/>
        <v>13395.2</v>
      </c>
      <c r="Y22" s="27">
        <f t="shared" si="21"/>
        <v>6102</v>
      </c>
      <c r="Z22" s="27">
        <f t="shared" si="21"/>
        <v>11224</v>
      </c>
      <c r="AA22" s="27">
        <f t="shared" si="21"/>
        <v>6768</v>
      </c>
      <c r="AB22" s="27">
        <f t="shared" si="21"/>
        <v>0</v>
      </c>
      <c r="AC22" s="27">
        <f t="shared" si="21"/>
        <v>0</v>
      </c>
      <c r="AD22" s="27">
        <f t="shared" si="21"/>
        <v>3082.75</v>
      </c>
      <c r="AE22" s="27">
        <f t="shared" si="21"/>
        <v>0</v>
      </c>
      <c r="AF22" s="28">
        <f t="shared" si="3"/>
        <v>77021.95</v>
      </c>
    </row>
    <row r="23" ht="15.75" customHeight="1">
      <c r="A23" s="4">
        <f>DATE(2023,4,21)</f>
        <v>45037</v>
      </c>
      <c r="B23" s="26">
        <v>0.0</v>
      </c>
      <c r="C23" s="26">
        <v>0.0</v>
      </c>
      <c r="D23" s="26">
        <v>0.0</v>
      </c>
      <c r="E23" s="26">
        <v>0.0</v>
      </c>
      <c r="F23" s="26">
        <v>0.0</v>
      </c>
      <c r="G23" s="26">
        <v>0.0</v>
      </c>
      <c r="H23" s="26">
        <v>180.0</v>
      </c>
      <c r="I23" s="26">
        <v>100.0</v>
      </c>
      <c r="J23" s="26">
        <v>50.0</v>
      </c>
      <c r="K23" s="26">
        <v>10.0</v>
      </c>
      <c r="L23" s="7">
        <f>0.9*SALES!L23</f>
        <v>40.5</v>
      </c>
      <c r="M23" s="7">
        <f>0.92*SALES!M23</f>
        <v>37.72</v>
      </c>
      <c r="N23" s="7">
        <f>0.92*SALES!N23</f>
        <v>95.68</v>
      </c>
      <c r="O23" s="7">
        <f>0.9*SALES!O23</f>
        <v>101.7</v>
      </c>
      <c r="P23" s="7">
        <f>0.92*SALES!P23</f>
        <v>112.24</v>
      </c>
      <c r="Q23" s="7">
        <f>0.94*SALES!Q23</f>
        <v>42.3</v>
      </c>
      <c r="R23" s="7">
        <f>0.94*SALES!R23</f>
        <v>133.48</v>
      </c>
      <c r="S23" s="7">
        <f>0.9*SALES!S23</f>
        <v>396</v>
      </c>
      <c r="T23" s="7">
        <f>0.95*SALES!T23</f>
        <v>57</v>
      </c>
      <c r="U23" s="7">
        <f>0.82*SALES!U23</f>
        <v>733.9</v>
      </c>
      <c r="V23" s="27">
        <f t="shared" ref="V23:AE23" si="22">B23*L23</f>
        <v>0</v>
      </c>
      <c r="W23" s="27">
        <f t="shared" si="22"/>
        <v>0</v>
      </c>
      <c r="X23" s="27">
        <f t="shared" si="22"/>
        <v>0</v>
      </c>
      <c r="Y23" s="27">
        <f t="shared" si="22"/>
        <v>0</v>
      </c>
      <c r="Z23" s="27">
        <f t="shared" si="22"/>
        <v>0</v>
      </c>
      <c r="AA23" s="27">
        <f t="shared" si="22"/>
        <v>0</v>
      </c>
      <c r="AB23" s="27">
        <f t="shared" si="22"/>
        <v>24026.4</v>
      </c>
      <c r="AC23" s="27">
        <f t="shared" si="22"/>
        <v>39600</v>
      </c>
      <c r="AD23" s="27">
        <f t="shared" si="22"/>
        <v>2850</v>
      </c>
      <c r="AE23" s="27">
        <f t="shared" si="22"/>
        <v>7339</v>
      </c>
      <c r="AF23" s="28">
        <f t="shared" si="3"/>
        <v>73815.4</v>
      </c>
    </row>
    <row r="24" ht="15.75" customHeight="1">
      <c r="A24" s="4">
        <f>DATE(2023,4,22)</f>
        <v>45038</v>
      </c>
      <c r="B24" s="26">
        <v>0.0</v>
      </c>
      <c r="C24" s="26">
        <v>0.0</v>
      </c>
      <c r="D24" s="26">
        <v>0.0</v>
      </c>
      <c r="E24" s="26">
        <v>0.0</v>
      </c>
      <c r="F24" s="26">
        <v>0.0</v>
      </c>
      <c r="G24" s="26">
        <v>0.0</v>
      </c>
      <c r="H24" s="26">
        <v>0.0</v>
      </c>
      <c r="I24" s="26">
        <v>0.0</v>
      </c>
      <c r="J24" s="26">
        <v>90.0</v>
      </c>
      <c r="K24" s="26">
        <v>0.0</v>
      </c>
      <c r="L24" s="7">
        <f>0.9*SALES!L24</f>
        <v>40.5</v>
      </c>
      <c r="M24" s="7">
        <f>0.92*SALES!M24</f>
        <v>37.72</v>
      </c>
      <c r="N24" s="7">
        <f>0.92*SALES!N24</f>
        <v>95.68</v>
      </c>
      <c r="O24" s="7">
        <f>0.9*SALES!O24</f>
        <v>101.7</v>
      </c>
      <c r="P24" s="7">
        <f>0.92*SALES!P24</f>
        <v>112.24</v>
      </c>
      <c r="Q24" s="7">
        <f>0.94*SALES!Q24</f>
        <v>42.3</v>
      </c>
      <c r="R24" s="7">
        <f>0.94*SALES!R24</f>
        <v>133.48</v>
      </c>
      <c r="S24" s="7">
        <f>0.9*SALES!S24</f>
        <v>396</v>
      </c>
      <c r="T24" s="7">
        <f>0.95*SALES!T24</f>
        <v>57</v>
      </c>
      <c r="U24" s="7">
        <f>0.82*SALES!U24</f>
        <v>733.9</v>
      </c>
      <c r="V24" s="27">
        <f t="shared" ref="V24:AE24" si="23">B24*L24</f>
        <v>0</v>
      </c>
      <c r="W24" s="27">
        <f t="shared" si="23"/>
        <v>0</v>
      </c>
      <c r="X24" s="27">
        <f t="shared" si="23"/>
        <v>0</v>
      </c>
      <c r="Y24" s="27">
        <f t="shared" si="23"/>
        <v>0</v>
      </c>
      <c r="Z24" s="27">
        <f t="shared" si="23"/>
        <v>0</v>
      </c>
      <c r="AA24" s="27">
        <f t="shared" si="23"/>
        <v>0</v>
      </c>
      <c r="AB24" s="27">
        <f t="shared" si="23"/>
        <v>0</v>
      </c>
      <c r="AC24" s="27">
        <f t="shared" si="23"/>
        <v>0</v>
      </c>
      <c r="AD24" s="27">
        <f t="shared" si="23"/>
        <v>5130</v>
      </c>
      <c r="AE24" s="27">
        <f t="shared" si="23"/>
        <v>0</v>
      </c>
      <c r="AF24" s="28">
        <f t="shared" si="3"/>
        <v>5130</v>
      </c>
    </row>
    <row r="25" ht="15.75" customHeight="1">
      <c r="A25" s="4">
        <f>DATE(2023,4,23)</f>
        <v>45039</v>
      </c>
      <c r="B25" s="26">
        <v>0.0</v>
      </c>
      <c r="C25" s="26">
        <v>0.0</v>
      </c>
      <c r="D25" s="26">
        <v>0.0</v>
      </c>
      <c r="E25" s="26">
        <v>0.0</v>
      </c>
      <c r="F25" s="26">
        <v>0.0</v>
      </c>
      <c r="G25" s="26">
        <v>0.0</v>
      </c>
      <c r="H25" s="26">
        <v>0.0</v>
      </c>
      <c r="I25" s="26">
        <v>0.0</v>
      </c>
      <c r="J25" s="26">
        <v>90.0</v>
      </c>
      <c r="K25" s="26">
        <v>0.0</v>
      </c>
      <c r="L25" s="7">
        <f>0.9*SALES!L25</f>
        <v>40.5</v>
      </c>
      <c r="M25" s="7">
        <f>0.92*SALES!M25</f>
        <v>37.72</v>
      </c>
      <c r="N25" s="7">
        <f>0.92*SALES!N25</f>
        <v>95.68</v>
      </c>
      <c r="O25" s="7">
        <f>0.9*SALES!O25</f>
        <v>101.7</v>
      </c>
      <c r="P25" s="7">
        <f>0.92*SALES!P25</f>
        <v>112.24</v>
      </c>
      <c r="Q25" s="7">
        <f>0.94*SALES!Q25</f>
        <v>42.3</v>
      </c>
      <c r="R25" s="7">
        <f>0.94*SALES!R25</f>
        <v>122.2</v>
      </c>
      <c r="S25" s="7">
        <f>0.9*SALES!S25</f>
        <v>396</v>
      </c>
      <c r="T25" s="7">
        <f>0.95*SALES!T25</f>
        <v>57</v>
      </c>
      <c r="U25" s="7">
        <f>0.82*SALES!U25</f>
        <v>733.9</v>
      </c>
      <c r="V25" s="27">
        <f t="shared" ref="V25:AE25" si="24">B25*L25</f>
        <v>0</v>
      </c>
      <c r="W25" s="27">
        <f t="shared" si="24"/>
        <v>0</v>
      </c>
      <c r="X25" s="27">
        <f t="shared" si="24"/>
        <v>0</v>
      </c>
      <c r="Y25" s="27">
        <f t="shared" si="24"/>
        <v>0</v>
      </c>
      <c r="Z25" s="27">
        <f t="shared" si="24"/>
        <v>0</v>
      </c>
      <c r="AA25" s="27">
        <f t="shared" si="24"/>
        <v>0</v>
      </c>
      <c r="AB25" s="27">
        <f t="shared" si="24"/>
        <v>0</v>
      </c>
      <c r="AC25" s="27">
        <f t="shared" si="24"/>
        <v>0</v>
      </c>
      <c r="AD25" s="27">
        <f t="shared" si="24"/>
        <v>5130</v>
      </c>
      <c r="AE25" s="27">
        <f t="shared" si="24"/>
        <v>0</v>
      </c>
      <c r="AF25" s="28">
        <f t="shared" si="3"/>
        <v>5130</v>
      </c>
    </row>
    <row r="26" ht="15.75" customHeight="1">
      <c r="A26" s="4">
        <f>DATE(2023,4,24)</f>
        <v>45040</v>
      </c>
      <c r="B26" s="26">
        <v>500.0</v>
      </c>
      <c r="C26" s="26">
        <v>0.0</v>
      </c>
      <c r="D26" s="26">
        <v>50.0</v>
      </c>
      <c r="E26" s="26">
        <v>50.0</v>
      </c>
      <c r="F26" s="26">
        <v>50.0</v>
      </c>
      <c r="G26" s="26">
        <v>100.0</v>
      </c>
      <c r="H26" s="26">
        <v>60.0</v>
      </c>
      <c r="I26" s="26">
        <v>0.0</v>
      </c>
      <c r="J26" s="26">
        <v>100.0</v>
      </c>
      <c r="K26" s="26">
        <v>20.0</v>
      </c>
      <c r="L26" s="7">
        <f>0.9*SALES!L26</f>
        <v>40.5</v>
      </c>
      <c r="M26" s="7">
        <f>0.92*SALES!M26</f>
        <v>37.72</v>
      </c>
      <c r="N26" s="7">
        <f>0.92*SALES!N26</f>
        <v>95.68</v>
      </c>
      <c r="O26" s="7">
        <f>0.9*SALES!O26</f>
        <v>101.7</v>
      </c>
      <c r="P26" s="7">
        <f>0.92*SALES!P26</f>
        <v>112.24</v>
      </c>
      <c r="Q26" s="7">
        <f>0.94*SALES!Q26</f>
        <v>42.3</v>
      </c>
      <c r="R26" s="7">
        <f>0.94*SALES!R26</f>
        <v>122.2</v>
      </c>
      <c r="S26" s="7">
        <f>0.9*SALES!S26</f>
        <v>396</v>
      </c>
      <c r="T26" s="7">
        <f>0.95*SALES!T26</f>
        <v>57</v>
      </c>
      <c r="U26" s="7">
        <f>0.82*SALES!U26</f>
        <v>733.9</v>
      </c>
      <c r="V26" s="27">
        <f t="shared" ref="V26:AE26" si="25">B26*L26</f>
        <v>20250</v>
      </c>
      <c r="W26" s="27">
        <f t="shared" si="25"/>
        <v>0</v>
      </c>
      <c r="X26" s="27">
        <f t="shared" si="25"/>
        <v>4784</v>
      </c>
      <c r="Y26" s="27">
        <f t="shared" si="25"/>
        <v>5085</v>
      </c>
      <c r="Z26" s="27">
        <f t="shared" si="25"/>
        <v>5612</v>
      </c>
      <c r="AA26" s="27">
        <f t="shared" si="25"/>
        <v>4230</v>
      </c>
      <c r="AB26" s="27">
        <f t="shared" si="25"/>
        <v>7332</v>
      </c>
      <c r="AC26" s="27">
        <f t="shared" si="25"/>
        <v>0</v>
      </c>
      <c r="AD26" s="27">
        <f t="shared" si="25"/>
        <v>5700</v>
      </c>
      <c r="AE26" s="27">
        <f t="shared" si="25"/>
        <v>14678</v>
      </c>
      <c r="AF26" s="28">
        <f t="shared" si="3"/>
        <v>67671</v>
      </c>
    </row>
    <row r="27" ht="15.75" customHeight="1">
      <c r="A27" s="4">
        <f>DATE(2023,4,25)</f>
        <v>45041</v>
      </c>
      <c r="B27" s="26">
        <v>0.0</v>
      </c>
      <c r="C27" s="26">
        <v>0.0</v>
      </c>
      <c r="D27" s="26">
        <v>0.0</v>
      </c>
      <c r="E27" s="26">
        <v>0.0</v>
      </c>
      <c r="F27" s="26">
        <v>0.0</v>
      </c>
      <c r="G27" s="26">
        <v>0.0</v>
      </c>
      <c r="H27" s="26">
        <v>0.0</v>
      </c>
      <c r="I27" s="26">
        <v>0.0</v>
      </c>
      <c r="J27" s="26">
        <v>100.0</v>
      </c>
      <c r="K27" s="26">
        <v>0.0</v>
      </c>
      <c r="L27" s="7">
        <f>0.9*SALES!L27</f>
        <v>40.5</v>
      </c>
      <c r="M27" s="7">
        <f>0.92*SALES!M27</f>
        <v>37.72</v>
      </c>
      <c r="N27" s="7">
        <f>0.92*SALES!N27</f>
        <v>95.68</v>
      </c>
      <c r="O27" s="7">
        <f>0.9*SALES!O27</f>
        <v>101.7</v>
      </c>
      <c r="P27" s="7">
        <f>0.92*SALES!P27</f>
        <v>112.24</v>
      </c>
      <c r="Q27" s="7">
        <f>0.94*SALES!Q27</f>
        <v>42.3</v>
      </c>
      <c r="R27" s="7">
        <f>0.94*SALES!R27</f>
        <v>122.2</v>
      </c>
      <c r="S27" s="7">
        <f>0.9*SALES!S27</f>
        <v>396</v>
      </c>
      <c r="T27" s="7">
        <f>0.95*SALES!T27</f>
        <v>57</v>
      </c>
      <c r="U27" s="7">
        <f>0.82*SALES!U27</f>
        <v>733.9</v>
      </c>
      <c r="V27" s="27">
        <f t="shared" ref="V27:AE27" si="26">B27*L27</f>
        <v>0</v>
      </c>
      <c r="W27" s="27">
        <f t="shared" si="26"/>
        <v>0</v>
      </c>
      <c r="X27" s="27">
        <f t="shared" si="26"/>
        <v>0</v>
      </c>
      <c r="Y27" s="27">
        <f t="shared" si="26"/>
        <v>0</v>
      </c>
      <c r="Z27" s="27">
        <f t="shared" si="26"/>
        <v>0</v>
      </c>
      <c r="AA27" s="27">
        <f t="shared" si="26"/>
        <v>0</v>
      </c>
      <c r="AB27" s="27">
        <f t="shared" si="26"/>
        <v>0</v>
      </c>
      <c r="AC27" s="27">
        <f t="shared" si="26"/>
        <v>0</v>
      </c>
      <c r="AD27" s="27">
        <f t="shared" si="26"/>
        <v>5700</v>
      </c>
      <c r="AE27" s="27">
        <f t="shared" si="26"/>
        <v>0</v>
      </c>
      <c r="AF27" s="28">
        <f t="shared" si="3"/>
        <v>5700</v>
      </c>
    </row>
    <row r="28" ht="15.75" customHeight="1">
      <c r="A28" s="4">
        <f>DATE(2023,4,26)</f>
        <v>45042</v>
      </c>
      <c r="B28" s="26">
        <v>0.0</v>
      </c>
      <c r="C28" s="26">
        <v>0.0</v>
      </c>
      <c r="D28" s="26">
        <v>0.0</v>
      </c>
      <c r="E28" s="26">
        <v>0.0</v>
      </c>
      <c r="F28" s="26">
        <v>0.0</v>
      </c>
      <c r="G28" s="26">
        <v>0.0</v>
      </c>
      <c r="H28" s="26">
        <v>0.0</v>
      </c>
      <c r="I28" s="26">
        <v>0.0</v>
      </c>
      <c r="J28" s="26">
        <v>60.0</v>
      </c>
      <c r="K28" s="26">
        <v>0.0</v>
      </c>
      <c r="L28" s="7">
        <f>0.9*SALES!L28</f>
        <v>40.5</v>
      </c>
      <c r="M28" s="7">
        <f>0.92*SALES!M28</f>
        <v>37.72</v>
      </c>
      <c r="N28" s="7">
        <f>0.92*SALES!N28</f>
        <v>95.68</v>
      </c>
      <c r="O28" s="7">
        <f>0.9*SALES!O28</f>
        <v>101.7</v>
      </c>
      <c r="P28" s="7">
        <f>0.92*SALES!P28</f>
        <v>112.24</v>
      </c>
      <c r="Q28" s="7">
        <f>0.94*SALES!Q28</f>
        <v>42.3</v>
      </c>
      <c r="R28" s="7">
        <f>0.94*SALES!R28</f>
        <v>122.2</v>
      </c>
      <c r="S28" s="7">
        <f>0.9*SALES!S28</f>
        <v>396</v>
      </c>
      <c r="T28" s="7">
        <f>0.95*SALES!T28</f>
        <v>57</v>
      </c>
      <c r="U28" s="7">
        <f>0.82*SALES!U28</f>
        <v>733.9</v>
      </c>
      <c r="V28" s="27">
        <f t="shared" ref="V28:AE28" si="27">B28*L28</f>
        <v>0</v>
      </c>
      <c r="W28" s="27">
        <f t="shared" si="27"/>
        <v>0</v>
      </c>
      <c r="X28" s="27">
        <f t="shared" si="27"/>
        <v>0</v>
      </c>
      <c r="Y28" s="27">
        <f t="shared" si="27"/>
        <v>0</v>
      </c>
      <c r="Z28" s="27">
        <f t="shared" si="27"/>
        <v>0</v>
      </c>
      <c r="AA28" s="27">
        <f t="shared" si="27"/>
        <v>0</v>
      </c>
      <c r="AB28" s="27">
        <f t="shared" si="27"/>
        <v>0</v>
      </c>
      <c r="AC28" s="27">
        <f t="shared" si="27"/>
        <v>0</v>
      </c>
      <c r="AD28" s="27">
        <f t="shared" si="27"/>
        <v>3420</v>
      </c>
      <c r="AE28" s="27">
        <f t="shared" si="27"/>
        <v>0</v>
      </c>
      <c r="AF28" s="28">
        <f t="shared" si="3"/>
        <v>3420</v>
      </c>
    </row>
    <row r="29" ht="15.75" customHeight="1">
      <c r="A29" s="4">
        <f>DATE(2023,4,27)</f>
        <v>45043</v>
      </c>
      <c r="B29" s="26">
        <v>600.0</v>
      </c>
      <c r="C29" s="26">
        <v>160.0</v>
      </c>
      <c r="D29" s="26">
        <v>0.0</v>
      </c>
      <c r="E29" s="26">
        <v>0.0</v>
      </c>
      <c r="F29" s="26">
        <v>0.0</v>
      </c>
      <c r="G29" s="26">
        <v>0.0</v>
      </c>
      <c r="H29" s="26">
        <v>60.0</v>
      </c>
      <c r="I29" s="26">
        <v>0.0</v>
      </c>
      <c r="J29" s="26">
        <v>55.0</v>
      </c>
      <c r="K29" s="26">
        <v>0.0</v>
      </c>
      <c r="L29" s="7">
        <f>0.9*SALES!L29</f>
        <v>40.5</v>
      </c>
      <c r="M29" s="7">
        <f>0.92*SALES!M29</f>
        <v>37.72</v>
      </c>
      <c r="N29" s="7">
        <f>0.92*SALES!N29</f>
        <v>95.68</v>
      </c>
      <c r="O29" s="7">
        <f>0.9*SALES!O29</f>
        <v>101.7</v>
      </c>
      <c r="P29" s="7">
        <f>0.92*SALES!P29</f>
        <v>112.24</v>
      </c>
      <c r="Q29" s="7">
        <f>0.94*SALES!Q29</f>
        <v>42.3</v>
      </c>
      <c r="R29" s="7">
        <f>0.94*SALES!R29</f>
        <v>122.2</v>
      </c>
      <c r="S29" s="7">
        <f>0.9*SALES!S29</f>
        <v>396</v>
      </c>
      <c r="T29" s="7">
        <f>0.95*SALES!T29</f>
        <v>57</v>
      </c>
      <c r="U29" s="7">
        <f>0.82*SALES!U29</f>
        <v>733.9</v>
      </c>
      <c r="V29" s="27">
        <f t="shared" ref="V29:AE29" si="28">B29*L29</f>
        <v>24300</v>
      </c>
      <c r="W29" s="27">
        <f t="shared" si="28"/>
        <v>6035.2</v>
      </c>
      <c r="X29" s="27">
        <f t="shared" si="28"/>
        <v>0</v>
      </c>
      <c r="Y29" s="27">
        <f t="shared" si="28"/>
        <v>0</v>
      </c>
      <c r="Z29" s="27">
        <f t="shared" si="28"/>
        <v>0</v>
      </c>
      <c r="AA29" s="27">
        <f t="shared" si="28"/>
        <v>0</v>
      </c>
      <c r="AB29" s="27">
        <f t="shared" si="28"/>
        <v>7332</v>
      </c>
      <c r="AC29" s="27">
        <f t="shared" si="28"/>
        <v>0</v>
      </c>
      <c r="AD29" s="27">
        <f t="shared" si="28"/>
        <v>3135</v>
      </c>
      <c r="AE29" s="27">
        <f t="shared" si="28"/>
        <v>0</v>
      </c>
      <c r="AF29" s="28">
        <f t="shared" si="3"/>
        <v>40802.2</v>
      </c>
    </row>
    <row r="30" ht="15.75" customHeight="1">
      <c r="A30" s="4">
        <f>DATE(2023,4,28)</f>
        <v>45044</v>
      </c>
      <c r="B30" s="26">
        <v>0.0</v>
      </c>
      <c r="C30" s="26">
        <v>0.0</v>
      </c>
      <c r="D30" s="26">
        <v>50.0</v>
      </c>
      <c r="E30" s="26">
        <v>40.0</v>
      </c>
      <c r="F30" s="26">
        <v>60.0</v>
      </c>
      <c r="G30" s="26">
        <v>0.0</v>
      </c>
      <c r="H30" s="26">
        <v>0.0</v>
      </c>
      <c r="I30" s="26">
        <v>0.0</v>
      </c>
      <c r="J30" s="26">
        <v>65.0</v>
      </c>
      <c r="K30" s="26">
        <v>8.0</v>
      </c>
      <c r="L30" s="7">
        <f>0.9*SALES!L30</f>
        <v>40.5</v>
      </c>
      <c r="M30" s="7">
        <f>0.92*SALES!M30</f>
        <v>37.72</v>
      </c>
      <c r="N30" s="7">
        <f>0.92*SALES!N30</f>
        <v>95.68</v>
      </c>
      <c r="O30" s="7">
        <f>0.9*SALES!O30</f>
        <v>101.7</v>
      </c>
      <c r="P30" s="7">
        <f>0.92*SALES!P30</f>
        <v>112.24</v>
      </c>
      <c r="Q30" s="7">
        <f>0.94*SALES!Q30</f>
        <v>42.3</v>
      </c>
      <c r="R30" s="7">
        <f>0.94*SALES!R30</f>
        <v>122.2</v>
      </c>
      <c r="S30" s="7">
        <f>0.9*SALES!S30</f>
        <v>396</v>
      </c>
      <c r="T30" s="7">
        <f>0.95*SALES!T30</f>
        <v>57</v>
      </c>
      <c r="U30" s="7">
        <f>0.82*SALES!U30</f>
        <v>721.6</v>
      </c>
      <c r="V30" s="27">
        <f t="shared" ref="V30:AE30" si="29">B30*L30</f>
        <v>0</v>
      </c>
      <c r="W30" s="27">
        <f t="shared" si="29"/>
        <v>0</v>
      </c>
      <c r="X30" s="27">
        <f t="shared" si="29"/>
        <v>4784</v>
      </c>
      <c r="Y30" s="27">
        <f t="shared" si="29"/>
        <v>4068</v>
      </c>
      <c r="Z30" s="27">
        <f t="shared" si="29"/>
        <v>6734.4</v>
      </c>
      <c r="AA30" s="27">
        <f t="shared" si="29"/>
        <v>0</v>
      </c>
      <c r="AB30" s="27">
        <f t="shared" si="29"/>
        <v>0</v>
      </c>
      <c r="AC30" s="27">
        <f t="shared" si="29"/>
        <v>0</v>
      </c>
      <c r="AD30" s="27">
        <f t="shared" si="29"/>
        <v>3705</v>
      </c>
      <c r="AE30" s="27">
        <f t="shared" si="29"/>
        <v>5772.8</v>
      </c>
      <c r="AF30" s="28">
        <f t="shared" si="3"/>
        <v>25064.2</v>
      </c>
    </row>
    <row r="31" ht="15.75" customHeight="1">
      <c r="A31" s="4">
        <f>DATE(2023,4,29)</f>
        <v>45045</v>
      </c>
      <c r="B31" s="26">
        <v>0.0</v>
      </c>
      <c r="C31" s="26">
        <v>0.0</v>
      </c>
      <c r="D31" s="26">
        <v>0.0</v>
      </c>
      <c r="E31" s="26">
        <v>0.0</v>
      </c>
      <c r="F31" s="26">
        <v>0.0</v>
      </c>
      <c r="G31" s="26">
        <v>0.0</v>
      </c>
      <c r="H31" s="26">
        <v>0.0</v>
      </c>
      <c r="I31" s="26">
        <v>0.0</v>
      </c>
      <c r="J31" s="26">
        <v>55.0</v>
      </c>
      <c r="K31" s="26">
        <v>0.0</v>
      </c>
      <c r="L31" s="7">
        <f>0.9*SALES!L31</f>
        <v>42.3</v>
      </c>
      <c r="M31" s="7">
        <f>0.92*SALES!M31</f>
        <v>37.72</v>
      </c>
      <c r="N31" s="7">
        <f>0.92*SALES!N31</f>
        <v>95.68</v>
      </c>
      <c r="O31" s="7">
        <f>0.9*SALES!O31</f>
        <v>101.7</v>
      </c>
      <c r="P31" s="7">
        <f>0.92*SALES!P31</f>
        <v>112.24</v>
      </c>
      <c r="Q31" s="7">
        <f>0.94*SALES!Q31</f>
        <v>42.3</v>
      </c>
      <c r="R31" s="7">
        <f>0.94*SALES!R31</f>
        <v>122.2</v>
      </c>
      <c r="S31" s="7">
        <f>0.9*SALES!S31</f>
        <v>396</v>
      </c>
      <c r="T31" s="7">
        <f>0.95*SALES!T31</f>
        <v>57</v>
      </c>
      <c r="U31" s="7">
        <f>0.82*SALES!U31</f>
        <v>721.6</v>
      </c>
      <c r="V31" s="27">
        <f t="shared" ref="V31:AE31" si="30">B31*L31</f>
        <v>0</v>
      </c>
      <c r="W31" s="27">
        <f t="shared" si="30"/>
        <v>0</v>
      </c>
      <c r="X31" s="27">
        <f t="shared" si="30"/>
        <v>0</v>
      </c>
      <c r="Y31" s="27">
        <f t="shared" si="30"/>
        <v>0</v>
      </c>
      <c r="Z31" s="27">
        <f t="shared" si="30"/>
        <v>0</v>
      </c>
      <c r="AA31" s="27">
        <f t="shared" si="30"/>
        <v>0</v>
      </c>
      <c r="AB31" s="27">
        <f t="shared" si="30"/>
        <v>0</v>
      </c>
      <c r="AC31" s="27">
        <f t="shared" si="30"/>
        <v>0</v>
      </c>
      <c r="AD31" s="27">
        <f t="shared" si="30"/>
        <v>3135</v>
      </c>
      <c r="AE31" s="27">
        <f t="shared" si="30"/>
        <v>0</v>
      </c>
      <c r="AF31" s="28">
        <f t="shared" si="3"/>
        <v>3135</v>
      </c>
    </row>
    <row r="32" ht="15.75" customHeight="1">
      <c r="A32" s="4">
        <f>DATE(2023,4,30)</f>
        <v>45046</v>
      </c>
      <c r="B32" s="26">
        <v>0.0</v>
      </c>
      <c r="C32" s="26">
        <v>0.0</v>
      </c>
      <c r="D32" s="26">
        <v>0.0</v>
      </c>
      <c r="E32" s="26">
        <v>0.0</v>
      </c>
      <c r="F32" s="26">
        <v>0.0</v>
      </c>
      <c r="G32" s="26">
        <v>0.0</v>
      </c>
      <c r="H32" s="26">
        <v>0.0</v>
      </c>
      <c r="I32" s="26">
        <v>0.0</v>
      </c>
      <c r="J32" s="26">
        <v>55.0</v>
      </c>
      <c r="K32" s="26">
        <v>0.0</v>
      </c>
      <c r="L32" s="7">
        <f>0.9*SALES!L32</f>
        <v>42.3</v>
      </c>
      <c r="M32" s="7">
        <f>0.92*SALES!M32</f>
        <v>37.72</v>
      </c>
      <c r="N32" s="7">
        <f>0.92*SALES!N32</f>
        <v>95.68</v>
      </c>
      <c r="O32" s="7">
        <f>0.9*SALES!O32</f>
        <v>101.7</v>
      </c>
      <c r="P32" s="7">
        <f>0.92*SALES!P32</f>
        <v>112.24</v>
      </c>
      <c r="Q32" s="7">
        <f>0.94*SALES!Q32</f>
        <v>42.3</v>
      </c>
      <c r="R32" s="7">
        <f>0.94*SALES!R32</f>
        <v>132.54</v>
      </c>
      <c r="S32" s="7">
        <f>0.9*SALES!S32</f>
        <v>396</v>
      </c>
      <c r="T32" s="7">
        <f>0.95*SALES!T32</f>
        <v>57</v>
      </c>
      <c r="U32" s="7">
        <f>0.82*SALES!U32</f>
        <v>721.6</v>
      </c>
      <c r="V32" s="27">
        <f t="shared" ref="V32:AE32" si="31">B32*L32</f>
        <v>0</v>
      </c>
      <c r="W32" s="27">
        <f t="shared" si="31"/>
        <v>0</v>
      </c>
      <c r="X32" s="27">
        <f t="shared" si="31"/>
        <v>0</v>
      </c>
      <c r="Y32" s="27">
        <f t="shared" si="31"/>
        <v>0</v>
      </c>
      <c r="Z32" s="27">
        <f t="shared" si="31"/>
        <v>0</v>
      </c>
      <c r="AA32" s="27">
        <f t="shared" si="31"/>
        <v>0</v>
      </c>
      <c r="AB32" s="27">
        <f t="shared" si="31"/>
        <v>0</v>
      </c>
      <c r="AC32" s="27">
        <f t="shared" si="31"/>
        <v>0</v>
      </c>
      <c r="AD32" s="27">
        <f t="shared" si="31"/>
        <v>3135</v>
      </c>
      <c r="AE32" s="27">
        <f t="shared" si="31"/>
        <v>0</v>
      </c>
      <c r="AF32" s="28">
        <f t="shared" si="3"/>
        <v>3135</v>
      </c>
    </row>
    <row r="33" ht="15.75" customHeight="1">
      <c r="A33" s="4">
        <f>DATE(2023,4,31)</f>
        <v>45047</v>
      </c>
      <c r="B33" s="26">
        <v>0.0</v>
      </c>
      <c r="C33" s="26">
        <v>0.0</v>
      </c>
      <c r="D33" s="26">
        <v>0.0</v>
      </c>
      <c r="E33" s="26">
        <v>0.0</v>
      </c>
      <c r="F33" s="26">
        <v>0.0</v>
      </c>
      <c r="G33" s="26">
        <v>0.0</v>
      </c>
      <c r="H33" s="26">
        <v>0.0</v>
      </c>
      <c r="I33" s="26">
        <v>0.0</v>
      </c>
      <c r="J33" s="26">
        <v>55.0</v>
      </c>
      <c r="K33" s="26">
        <v>0.0</v>
      </c>
      <c r="L33" s="7">
        <f>0.9*SALES!L33</f>
        <v>42.3</v>
      </c>
      <c r="M33" s="7">
        <f>0.92*SALES!M33</f>
        <v>37.72</v>
      </c>
      <c r="N33" s="7">
        <f>0.92*SALES!N33</f>
        <v>96.6</v>
      </c>
      <c r="O33" s="7">
        <f>0.9*SALES!O33</f>
        <v>101.7</v>
      </c>
      <c r="P33" s="7">
        <f>0.92*SALES!P33</f>
        <v>108.56</v>
      </c>
      <c r="Q33" s="7">
        <f>0.94*SALES!Q33</f>
        <v>42.3</v>
      </c>
      <c r="R33" s="7">
        <f>0.94*SALES!R33</f>
        <v>132.54</v>
      </c>
      <c r="S33" s="7">
        <f>0.9*SALES!S33</f>
        <v>396</v>
      </c>
      <c r="T33" s="7">
        <f>0.95*SALES!T33</f>
        <v>57</v>
      </c>
      <c r="U33" s="7">
        <f>0.82*SALES!U33</f>
        <v>721.6</v>
      </c>
      <c r="V33" s="27">
        <f t="shared" ref="V33:AE33" si="32">B33*L33</f>
        <v>0</v>
      </c>
      <c r="W33" s="27">
        <f t="shared" si="32"/>
        <v>0</v>
      </c>
      <c r="X33" s="27">
        <f t="shared" si="32"/>
        <v>0</v>
      </c>
      <c r="Y33" s="27">
        <f t="shared" si="32"/>
        <v>0</v>
      </c>
      <c r="Z33" s="27">
        <f t="shared" si="32"/>
        <v>0</v>
      </c>
      <c r="AA33" s="27">
        <f t="shared" si="32"/>
        <v>0</v>
      </c>
      <c r="AB33" s="27">
        <f t="shared" si="32"/>
        <v>0</v>
      </c>
      <c r="AC33" s="27">
        <f t="shared" si="32"/>
        <v>0</v>
      </c>
      <c r="AD33" s="27">
        <f t="shared" si="32"/>
        <v>3135</v>
      </c>
      <c r="AE33" s="27">
        <f t="shared" si="32"/>
        <v>0</v>
      </c>
      <c r="AF33" s="28">
        <f t="shared" si="3"/>
        <v>3135</v>
      </c>
    </row>
    <row r="34" ht="15.75" customHeight="1">
      <c r="A34" s="5"/>
      <c r="B34" s="5">
        <f t="shared" ref="B34:J34" si="33">SUM(B3:B33)</f>
        <v>2400</v>
      </c>
      <c r="C34" s="5">
        <f t="shared" si="33"/>
        <v>1160</v>
      </c>
      <c r="D34" s="5">
        <f t="shared" si="33"/>
        <v>390</v>
      </c>
      <c r="E34" s="5">
        <f t="shared" si="33"/>
        <v>300</v>
      </c>
      <c r="F34" s="5">
        <f t="shared" si="33"/>
        <v>410</v>
      </c>
      <c r="G34" s="5">
        <f t="shared" si="33"/>
        <v>480</v>
      </c>
      <c r="H34" s="5">
        <f t="shared" si="33"/>
        <v>480</v>
      </c>
      <c r="I34" s="5">
        <f t="shared" si="33"/>
        <v>155</v>
      </c>
      <c r="J34" s="5">
        <f t="shared" si="33"/>
        <v>2005</v>
      </c>
      <c r="K34" s="29" t="s">
        <v>24</v>
      </c>
      <c r="L34" s="30">
        <f t="shared" ref="L34:U34" si="34">SUM(L3:L33)/31</f>
        <v>40.12258065</v>
      </c>
      <c r="M34" s="30">
        <f t="shared" si="34"/>
        <v>37.89806452</v>
      </c>
      <c r="N34" s="30">
        <f t="shared" si="34"/>
        <v>96.06580645</v>
      </c>
      <c r="O34" s="30">
        <f t="shared" si="34"/>
        <v>100.0451613</v>
      </c>
      <c r="P34" s="30">
        <f t="shared" si="34"/>
        <v>105.9483871</v>
      </c>
      <c r="Q34" s="30">
        <f t="shared" si="34"/>
        <v>41.48129032</v>
      </c>
      <c r="R34" s="30">
        <f t="shared" si="34"/>
        <v>142.3341935</v>
      </c>
      <c r="S34" s="30">
        <f t="shared" si="34"/>
        <v>391.6741935</v>
      </c>
      <c r="T34" s="30">
        <f t="shared" si="34"/>
        <v>56.87741935</v>
      </c>
      <c r="U34" s="30">
        <f t="shared" si="34"/>
        <v>716.9709677</v>
      </c>
      <c r="V34" s="8">
        <f t="shared" ref="V34:AE34" si="35">sum(V3:V33)</f>
        <v>96840</v>
      </c>
      <c r="W34" s="8">
        <f t="shared" si="35"/>
        <v>43755.2</v>
      </c>
      <c r="X34" s="8">
        <f t="shared" si="35"/>
        <v>37315.2</v>
      </c>
      <c r="Y34" s="8">
        <f t="shared" si="35"/>
        <v>30105</v>
      </c>
      <c r="Z34" s="8">
        <f t="shared" si="35"/>
        <v>44132.4</v>
      </c>
      <c r="AA34" s="8">
        <f t="shared" si="35"/>
        <v>20341.6</v>
      </c>
      <c r="AB34" s="8">
        <f t="shared" si="35"/>
        <v>66288.8</v>
      </c>
      <c r="AC34" s="8">
        <f t="shared" si="35"/>
        <v>60862.5</v>
      </c>
      <c r="AD34" s="8">
        <f t="shared" si="35"/>
        <v>114076</v>
      </c>
      <c r="AE34" s="8">
        <f t="shared" si="35"/>
        <v>70315</v>
      </c>
      <c r="AF34" s="31">
        <f>SUM(AF3:AF33)</f>
        <v>584031.7</v>
      </c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32" t="s">
        <v>25</v>
      </c>
      <c r="L35" s="33">
        <f>SUM(L34:U34)/10</f>
        <v>172.9418065</v>
      </c>
      <c r="M35" s="5"/>
      <c r="N35" s="5"/>
      <c r="O35" s="5"/>
      <c r="P35" s="5"/>
      <c r="Q35" s="5"/>
      <c r="R35" s="5"/>
      <c r="S35" s="5"/>
      <c r="T35" s="5"/>
      <c r="U35" s="34" t="s">
        <v>26</v>
      </c>
      <c r="V35" s="35">
        <f>(INVENTORY!B3*L3)</f>
        <v>36450</v>
      </c>
      <c r="W35" s="35">
        <f>(INVENTORY!C3*M3)</f>
        <v>7544</v>
      </c>
      <c r="X35" s="35">
        <f>(INVENTORY!D3*N3)</f>
        <v>7507.2</v>
      </c>
      <c r="Y35" s="35">
        <f>(INVENTORY!E3*O3)</f>
        <v>4950</v>
      </c>
      <c r="Z35" s="35">
        <f>(INVENTORY!F3*P3)</f>
        <v>14425.6</v>
      </c>
      <c r="AA35" s="35">
        <f>(INVENTORY!G3*Q3)</f>
        <v>11844</v>
      </c>
      <c r="AB35" s="35">
        <f>(INVENTORY!H3*R3)</f>
        <v>20163</v>
      </c>
      <c r="AC35" s="35">
        <f>(INVENTORY!I3*S3)</f>
        <v>18720</v>
      </c>
      <c r="AD35" s="35">
        <f>(INVENTORY!J3*T3)</f>
        <v>0</v>
      </c>
      <c r="AE35" s="35">
        <f>(INVENTORY!K3*U3)</f>
        <v>4206.6</v>
      </c>
      <c r="AF35" s="5"/>
    </row>
    <row r="36" ht="15.75" customHeight="1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36" t="s">
        <v>27</v>
      </c>
      <c r="V36" s="35">
        <f>INVENTORY!B33*L33</f>
        <v>13282.2</v>
      </c>
      <c r="W36" s="35">
        <f>INVENTORY!C33*M33</f>
        <v>3922.88</v>
      </c>
      <c r="X36" s="35">
        <f>INVENTORY!D33*N33</f>
        <v>3670.8</v>
      </c>
      <c r="Y36" s="35">
        <f>INVENTORY!E33*O33</f>
        <v>3254.4</v>
      </c>
      <c r="Z36" s="35">
        <f>INVENTORY!F33*P33</f>
        <v>5645.12</v>
      </c>
      <c r="AA36" s="35">
        <f>INVENTORY!G33*Q33</f>
        <v>2030.4</v>
      </c>
      <c r="AB36" s="35">
        <f>INVENTORY!H33*R33</f>
        <v>7687.32</v>
      </c>
      <c r="AC36" s="35">
        <f>INVENTORY!I33*S33</f>
        <v>6336</v>
      </c>
      <c r="AD36" s="35">
        <f>INVENTORY!J33*T33</f>
        <v>0</v>
      </c>
      <c r="AE36" s="35">
        <f>INVENTORY!K33*U33</f>
        <v>5772.8</v>
      </c>
      <c r="AF36" s="17"/>
    </row>
    <row r="37" ht="15.75" customHeight="1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37" t="s">
        <v>28</v>
      </c>
      <c r="V37" s="30">
        <f t="shared" ref="V37:AE37" si="36">V34+V35-V36</f>
        <v>120007.8</v>
      </c>
      <c r="W37" s="30">
        <f t="shared" si="36"/>
        <v>47376.32</v>
      </c>
      <c r="X37" s="30">
        <f t="shared" si="36"/>
        <v>41151.6</v>
      </c>
      <c r="Y37" s="30">
        <f t="shared" si="36"/>
        <v>31800.6</v>
      </c>
      <c r="Z37" s="30">
        <f t="shared" si="36"/>
        <v>52912.88</v>
      </c>
      <c r="AA37" s="30">
        <f t="shared" si="36"/>
        <v>30155.2</v>
      </c>
      <c r="AB37" s="30">
        <f t="shared" si="36"/>
        <v>78764.48</v>
      </c>
      <c r="AC37" s="30">
        <f t="shared" si="36"/>
        <v>73246.5</v>
      </c>
      <c r="AD37" s="30">
        <f t="shared" si="36"/>
        <v>114076</v>
      </c>
      <c r="AE37" s="30">
        <f t="shared" si="36"/>
        <v>68748.8</v>
      </c>
      <c r="AF37" s="38">
        <f>sum(V37:AE37)</f>
        <v>658240.18</v>
      </c>
    </row>
    <row r="38" ht="15.75" customHeight="1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</row>
    <row r="39" ht="15.75" customHeight="1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</row>
    <row r="40" ht="15.75" customHeight="1">
      <c r="A40" s="2" t="s">
        <v>3</v>
      </c>
      <c r="B40" s="3" t="s">
        <v>10</v>
      </c>
      <c r="C40" s="2" t="s">
        <v>29</v>
      </c>
      <c r="D40" s="17"/>
      <c r="E40" s="2" t="s">
        <v>3</v>
      </c>
      <c r="F40" s="22" t="s">
        <v>8</v>
      </c>
      <c r="G40" s="22" t="s">
        <v>8</v>
      </c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</row>
    <row r="41" ht="15.75" customHeight="1">
      <c r="A41" s="4">
        <f>DATE(2023,4,1)</f>
        <v>45017</v>
      </c>
      <c r="B41" s="26">
        <v>0.0</v>
      </c>
      <c r="C41" s="5">
        <v>155.1</v>
      </c>
      <c r="D41" s="17"/>
      <c r="E41" s="4">
        <f>DATE(2023,4,1)</f>
        <v>45017</v>
      </c>
      <c r="F41" s="5">
        <v>0.0</v>
      </c>
      <c r="G41" s="5">
        <v>103.04</v>
      </c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</row>
    <row r="42" ht="15.75" customHeight="1">
      <c r="A42" s="4">
        <f>DATE(2023,4,2)</f>
        <v>45018</v>
      </c>
      <c r="B42" s="26">
        <v>0.0</v>
      </c>
      <c r="C42" s="5">
        <v>155.1</v>
      </c>
      <c r="D42" s="17"/>
      <c r="E42" s="4">
        <f>DATE(2023,4,2)</f>
        <v>45018</v>
      </c>
      <c r="F42" s="5">
        <v>0.0</v>
      </c>
      <c r="G42" s="5">
        <v>103.04</v>
      </c>
      <c r="H42" s="17"/>
      <c r="I42" s="17"/>
      <c r="J42" s="17"/>
      <c r="K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</row>
    <row r="43" ht="15.75" customHeight="1">
      <c r="A43" s="4">
        <f>DATE(2023,4,3)</f>
        <v>45019</v>
      </c>
      <c r="B43" s="26">
        <v>60.0</v>
      </c>
      <c r="C43" s="5">
        <v>155.1</v>
      </c>
      <c r="D43" s="17"/>
      <c r="E43" s="4">
        <f>DATE(2023,4,3)</f>
        <v>45019</v>
      </c>
      <c r="F43" s="5">
        <v>50.0</v>
      </c>
      <c r="G43" s="5">
        <v>103.04</v>
      </c>
      <c r="H43" s="17"/>
      <c r="I43" s="17"/>
      <c r="J43" s="17"/>
      <c r="K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</row>
    <row r="44" ht="15.75" customHeight="1">
      <c r="A44" s="4">
        <f>DATE(2023,4,4)</f>
        <v>45020</v>
      </c>
      <c r="B44" s="26">
        <v>60.0</v>
      </c>
      <c r="C44" s="5">
        <v>155.1</v>
      </c>
      <c r="D44" s="17"/>
      <c r="E44" s="4">
        <f>DATE(2023,4,4)</f>
        <v>45020</v>
      </c>
      <c r="F44" s="5">
        <v>50.0</v>
      </c>
      <c r="G44" s="5">
        <v>103.04</v>
      </c>
      <c r="H44" s="17"/>
      <c r="I44" s="17"/>
      <c r="J44" s="17"/>
      <c r="K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</row>
    <row r="45" ht="15.75" customHeight="1">
      <c r="A45" s="4">
        <f>DATE(2023,4,5)</f>
        <v>45021</v>
      </c>
      <c r="B45" s="26">
        <v>0.0</v>
      </c>
      <c r="C45" s="5">
        <v>155.1</v>
      </c>
      <c r="D45" s="17"/>
      <c r="E45" s="4">
        <f>DATE(2023,4,5)</f>
        <v>45021</v>
      </c>
      <c r="F45" s="5">
        <v>0.0</v>
      </c>
      <c r="G45" s="5">
        <v>103.04</v>
      </c>
      <c r="H45" s="17"/>
      <c r="I45" s="17"/>
      <c r="J45" s="17"/>
      <c r="K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</row>
    <row r="46" ht="15.75" customHeight="1">
      <c r="A46" s="4">
        <f>DATE(2023,4,6)</f>
        <v>45022</v>
      </c>
      <c r="B46" s="26">
        <v>0.0</v>
      </c>
      <c r="C46" s="5">
        <v>155.1</v>
      </c>
      <c r="D46" s="17"/>
      <c r="E46" s="4">
        <f>DATE(2023,4,6)</f>
        <v>45022</v>
      </c>
      <c r="F46" s="5">
        <v>50.0</v>
      </c>
      <c r="G46" s="5">
        <v>103.04</v>
      </c>
      <c r="H46" s="17"/>
      <c r="I46" s="17"/>
      <c r="J46" s="17"/>
      <c r="K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</row>
    <row r="47" ht="15.75" customHeight="1">
      <c r="A47" s="4">
        <f>DATE(2023,4,7)</f>
        <v>45023</v>
      </c>
      <c r="B47" s="26">
        <v>0.0</v>
      </c>
      <c r="C47" s="5">
        <v>152.28</v>
      </c>
      <c r="D47" s="17"/>
      <c r="E47" s="4">
        <f>DATE(2023,4,7)</f>
        <v>45023</v>
      </c>
      <c r="F47" s="5">
        <v>0.0</v>
      </c>
      <c r="G47" s="5">
        <v>103.04</v>
      </c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</row>
    <row r="48" ht="15.75" customHeight="1">
      <c r="A48" s="4">
        <f>DATE(2023,4,8)</f>
        <v>45024</v>
      </c>
      <c r="B48" s="26">
        <v>0.0</v>
      </c>
      <c r="C48" s="5">
        <v>152.28</v>
      </c>
      <c r="D48" s="17"/>
      <c r="E48" s="4">
        <f>DATE(2023,4,8)</f>
        <v>45024</v>
      </c>
      <c r="F48" s="5">
        <v>0.0</v>
      </c>
      <c r="G48" s="5">
        <v>103.04</v>
      </c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</row>
    <row r="49" ht="15.75" customHeight="1">
      <c r="A49" s="4">
        <f>DATE(2023,4,9)</f>
        <v>45025</v>
      </c>
      <c r="B49" s="26">
        <v>20.0</v>
      </c>
      <c r="C49" s="5">
        <v>152.28</v>
      </c>
      <c r="D49" s="17"/>
      <c r="E49" s="4">
        <f>DATE(2023,4,9)</f>
        <v>45025</v>
      </c>
      <c r="F49" s="5">
        <v>0.0</v>
      </c>
      <c r="G49" s="5">
        <v>103.04</v>
      </c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</row>
    <row r="50" ht="15.75" customHeight="1">
      <c r="A50" s="4">
        <f>DATE(2023,4,10)</f>
        <v>45026</v>
      </c>
      <c r="B50" s="26">
        <v>0.0</v>
      </c>
      <c r="C50" s="5">
        <v>152.28</v>
      </c>
      <c r="D50" s="17"/>
      <c r="E50" s="4">
        <f>DATE(2023,4,10)</f>
        <v>45026</v>
      </c>
      <c r="F50" s="5">
        <v>0.0</v>
      </c>
      <c r="G50" s="5">
        <v>103.04</v>
      </c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</row>
    <row r="51" ht="15.75" customHeight="1">
      <c r="A51" s="4">
        <f>DATE(2023,4,11)</f>
        <v>45027</v>
      </c>
      <c r="B51" s="26">
        <v>0.0</v>
      </c>
      <c r="C51" s="5">
        <v>148.51999999999998</v>
      </c>
      <c r="D51" s="17"/>
      <c r="E51" s="4">
        <f>DATE(2023,4,11)</f>
        <v>45027</v>
      </c>
      <c r="F51" s="5">
        <v>0.0</v>
      </c>
      <c r="G51" s="5">
        <v>99.36</v>
      </c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</row>
    <row r="52" ht="15.75" customHeight="1">
      <c r="A52" s="4">
        <f>DATE(2023,4,12)</f>
        <v>45028</v>
      </c>
      <c r="B52" s="26">
        <v>0.0</v>
      </c>
      <c r="C52" s="5">
        <v>148.51999999999998</v>
      </c>
      <c r="D52" s="17"/>
      <c r="E52" s="4">
        <f>DATE(2023,4,12)</f>
        <v>45028</v>
      </c>
      <c r="F52" s="5">
        <v>0.0</v>
      </c>
      <c r="G52" s="5">
        <v>99.36</v>
      </c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</row>
    <row r="53" ht="15.75" customHeight="1">
      <c r="A53" s="4">
        <f>DATE(2023,4,13)</f>
        <v>45029</v>
      </c>
      <c r="B53" s="26">
        <v>0.0</v>
      </c>
      <c r="C53" s="5">
        <v>148.51999999999998</v>
      </c>
      <c r="D53" s="17"/>
      <c r="E53" s="4">
        <f>DATE(2023,4,13)</f>
        <v>45029</v>
      </c>
      <c r="F53" s="5">
        <v>0.0</v>
      </c>
      <c r="G53" s="5">
        <v>99.36</v>
      </c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</row>
    <row r="54" ht="15.75" customHeight="1">
      <c r="A54" s="4">
        <f>DATE(2023,4,14)</f>
        <v>45030</v>
      </c>
      <c r="B54" s="26">
        <v>40.0</v>
      </c>
      <c r="C54" s="5">
        <v>148.51999999999998</v>
      </c>
      <c r="D54" s="17"/>
      <c r="E54" s="4">
        <f>DATE(2023,4,14)</f>
        <v>45030</v>
      </c>
      <c r="F54" s="5">
        <v>50.0</v>
      </c>
      <c r="G54" s="5">
        <v>102.12</v>
      </c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</row>
    <row r="55" ht="15.75" customHeight="1">
      <c r="A55" s="4">
        <f>DATE(2023,4,15)</f>
        <v>45031</v>
      </c>
      <c r="B55" s="26">
        <v>0.0</v>
      </c>
      <c r="C55" s="5">
        <v>148.51999999999998</v>
      </c>
      <c r="D55" s="17"/>
      <c r="E55" s="4">
        <f>DATE(2023,4,15)</f>
        <v>45031</v>
      </c>
      <c r="F55" s="5">
        <v>0.0</v>
      </c>
      <c r="G55" s="5">
        <v>102.12</v>
      </c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</row>
    <row r="56" ht="15.75" customHeight="1">
      <c r="A56" s="4">
        <f>DATE(2023,4,16)</f>
        <v>45032</v>
      </c>
      <c r="B56" s="26">
        <v>0.0</v>
      </c>
      <c r="C56" s="5">
        <v>148.51999999999998</v>
      </c>
      <c r="D56" s="17"/>
      <c r="E56" s="4">
        <f>DATE(2023,4,16)</f>
        <v>45032</v>
      </c>
      <c r="F56" s="5">
        <v>0.0</v>
      </c>
      <c r="G56" s="5">
        <v>102.12</v>
      </c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</row>
    <row r="57" ht="15.75" customHeight="1">
      <c r="A57" s="4">
        <f>DATE(2023,4,17)</f>
        <v>45033</v>
      </c>
      <c r="B57" s="26">
        <v>0.0</v>
      </c>
      <c r="C57" s="5">
        <v>148.51999999999998</v>
      </c>
      <c r="D57" s="17"/>
      <c r="E57" s="4">
        <f>DATE(2023,4,17)</f>
        <v>45033</v>
      </c>
      <c r="F57" s="5">
        <v>0.0</v>
      </c>
      <c r="G57" s="5">
        <v>102.12</v>
      </c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</row>
    <row r="58" ht="15.75" customHeight="1">
      <c r="A58" s="4">
        <f>DATE(2023,4,18)</f>
        <v>45034</v>
      </c>
      <c r="B58" s="26">
        <v>0.0</v>
      </c>
      <c r="C58" s="5">
        <v>148.51999999999998</v>
      </c>
      <c r="D58" s="17"/>
      <c r="E58" s="4">
        <f>DATE(2023,4,18)</f>
        <v>45034</v>
      </c>
      <c r="F58" s="5">
        <v>0.0</v>
      </c>
      <c r="G58" s="5">
        <v>102.12</v>
      </c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</row>
    <row r="59" ht="15.75" customHeight="1">
      <c r="A59" s="4">
        <f>DATE(2023,4,19)</f>
        <v>45035</v>
      </c>
      <c r="B59" s="26">
        <v>0.0</v>
      </c>
      <c r="C59" s="5">
        <v>148.51999999999998</v>
      </c>
      <c r="D59" s="17"/>
      <c r="E59" s="4">
        <f>DATE(2023,4,19)</f>
        <v>45035</v>
      </c>
      <c r="F59" s="5">
        <v>0.0</v>
      </c>
      <c r="G59" s="5">
        <v>102.12</v>
      </c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</row>
    <row r="60" ht="15.75" customHeight="1">
      <c r="A60" s="4">
        <f>DATE(2023,4,20)</f>
        <v>45036</v>
      </c>
      <c r="B60" s="26">
        <v>0.0</v>
      </c>
      <c r="C60" s="5">
        <v>148.51999999999998</v>
      </c>
      <c r="D60" s="17"/>
      <c r="E60" s="4">
        <f>DATE(2023,4,20)</f>
        <v>45036</v>
      </c>
      <c r="F60" s="5">
        <v>100.0</v>
      </c>
      <c r="G60" s="5">
        <v>112.24000000000001</v>
      </c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</row>
    <row r="61" ht="15.75" customHeight="1">
      <c r="A61" s="4">
        <f>DATE(2023,4,21)</f>
        <v>45037</v>
      </c>
      <c r="B61" s="26">
        <v>180.0</v>
      </c>
      <c r="C61" s="5">
        <v>133.48</v>
      </c>
      <c r="D61" s="17"/>
      <c r="E61" s="4">
        <f>DATE(2023,4,21)</f>
        <v>45037</v>
      </c>
      <c r="F61" s="5">
        <v>0.0</v>
      </c>
      <c r="G61" s="5">
        <v>112.24000000000001</v>
      </c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</row>
    <row r="62" ht="15.75" customHeight="1">
      <c r="A62" s="4">
        <f>DATE(2023,4,22)</f>
        <v>45038</v>
      </c>
      <c r="B62" s="26">
        <v>0.0</v>
      </c>
      <c r="C62" s="5">
        <v>133.48</v>
      </c>
      <c r="D62" s="17"/>
      <c r="E62" s="4">
        <f>DATE(2023,4,22)</f>
        <v>45038</v>
      </c>
      <c r="F62" s="5">
        <v>0.0</v>
      </c>
      <c r="G62" s="5">
        <v>112.24000000000001</v>
      </c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</row>
    <row r="63" ht="15.75" customHeight="1">
      <c r="A63" s="4">
        <f>DATE(2023,4,23)</f>
        <v>45039</v>
      </c>
      <c r="B63" s="26">
        <v>0.0</v>
      </c>
      <c r="C63" s="5">
        <v>122.19999999999999</v>
      </c>
      <c r="D63" s="17"/>
      <c r="E63" s="4">
        <f>DATE(2023,4,23)</f>
        <v>45039</v>
      </c>
      <c r="F63" s="5">
        <v>0.0</v>
      </c>
      <c r="G63" s="5">
        <v>112.24000000000001</v>
      </c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</row>
    <row r="64" ht="15.75" customHeight="1">
      <c r="A64" s="4">
        <f>DATE(2023,4,24)</f>
        <v>45040</v>
      </c>
      <c r="B64" s="26">
        <v>60.0</v>
      </c>
      <c r="C64" s="5">
        <v>122.19999999999999</v>
      </c>
      <c r="D64" s="17"/>
      <c r="E64" s="4">
        <f>DATE(2023,4,24)</f>
        <v>45040</v>
      </c>
      <c r="F64" s="5">
        <v>50.0</v>
      </c>
      <c r="G64" s="5">
        <v>112.24000000000001</v>
      </c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</row>
    <row r="65" ht="15.75" customHeight="1">
      <c r="A65" s="4">
        <f>DATE(2023,4,25)</f>
        <v>45041</v>
      </c>
      <c r="B65" s="26">
        <v>0.0</v>
      </c>
      <c r="C65" s="5">
        <v>122.19999999999999</v>
      </c>
      <c r="D65" s="17"/>
      <c r="E65" s="4">
        <f>DATE(2023,4,25)</f>
        <v>45041</v>
      </c>
      <c r="F65" s="5">
        <v>0.0</v>
      </c>
      <c r="G65" s="5">
        <v>112.24000000000001</v>
      </c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</row>
    <row r="66" ht="15.75" customHeight="1">
      <c r="A66" s="4">
        <f>DATE(2023,4,26)</f>
        <v>45042</v>
      </c>
      <c r="B66" s="26">
        <v>0.0</v>
      </c>
      <c r="C66" s="5">
        <v>122.19999999999999</v>
      </c>
      <c r="D66" s="17"/>
      <c r="E66" s="4">
        <f>DATE(2023,4,26)</f>
        <v>45042</v>
      </c>
      <c r="F66" s="5">
        <v>0.0</v>
      </c>
      <c r="G66" s="5">
        <v>112.24000000000001</v>
      </c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</row>
    <row r="67" ht="15.75" customHeight="1">
      <c r="A67" s="4">
        <f>DATE(2023,4,27)</f>
        <v>45043</v>
      </c>
      <c r="B67" s="26">
        <v>60.0</v>
      </c>
      <c r="C67" s="5">
        <v>122.19999999999999</v>
      </c>
      <c r="D67" s="17"/>
      <c r="E67" s="4">
        <f>DATE(2023,4,27)</f>
        <v>45043</v>
      </c>
      <c r="F67" s="5">
        <v>0.0</v>
      </c>
      <c r="G67" s="5">
        <v>112.24000000000001</v>
      </c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</row>
    <row r="68" ht="15.75" customHeight="1">
      <c r="A68" s="4">
        <f>DATE(2023,4,28)</f>
        <v>45044</v>
      </c>
      <c r="B68" s="26">
        <v>0.0</v>
      </c>
      <c r="C68" s="5">
        <v>122.19999999999999</v>
      </c>
      <c r="D68" s="17"/>
      <c r="E68" s="4">
        <f>DATE(2023,4,28)</f>
        <v>45044</v>
      </c>
      <c r="F68" s="5">
        <v>60.0</v>
      </c>
      <c r="G68" s="5">
        <v>112.24000000000001</v>
      </c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</row>
    <row r="69" ht="15.75" customHeight="1">
      <c r="A69" s="4">
        <f>DATE(2023,4,29)</f>
        <v>45045</v>
      </c>
      <c r="B69" s="26">
        <v>0.0</v>
      </c>
      <c r="C69" s="5">
        <v>122.19999999999999</v>
      </c>
      <c r="D69" s="17"/>
      <c r="E69" s="4">
        <f>DATE(2023,4,29)</f>
        <v>45045</v>
      </c>
      <c r="F69" s="5">
        <v>0.0</v>
      </c>
      <c r="G69" s="5">
        <v>112.24000000000001</v>
      </c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</row>
    <row r="70" ht="15.75" customHeight="1">
      <c r="A70" s="4">
        <f>DATE(2023,4,30)</f>
        <v>45046</v>
      </c>
      <c r="B70" s="26">
        <v>0.0</v>
      </c>
      <c r="C70" s="5">
        <v>132.54</v>
      </c>
      <c r="D70" s="17"/>
      <c r="E70" s="4">
        <f>DATE(2023,4,30)</f>
        <v>45046</v>
      </c>
      <c r="F70" s="5">
        <v>0.0</v>
      </c>
      <c r="G70" s="5">
        <v>112.24000000000001</v>
      </c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</row>
    <row r="71" ht="15.75" customHeight="1">
      <c r="A71" s="4">
        <f>DATE(2023,4,31)</f>
        <v>45047</v>
      </c>
      <c r="B71" s="26">
        <v>0.0</v>
      </c>
      <c r="C71" s="5">
        <v>132.54</v>
      </c>
      <c r="D71" s="17"/>
      <c r="E71" s="4">
        <f>DATE(2023,4,31)</f>
        <v>45047</v>
      </c>
      <c r="F71" s="5">
        <v>0.0</v>
      </c>
      <c r="G71" s="5">
        <v>108.56</v>
      </c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</row>
    <row r="72" ht="15.75" customHeight="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</row>
    <row r="73" ht="15.75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</row>
    <row r="74" ht="15.75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</row>
    <row r="75" ht="15.75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</row>
    <row r="76" ht="15.75" customHeight="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</row>
    <row r="77" ht="15.75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</row>
    <row r="78" ht="15.75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</row>
    <row r="79" ht="15.75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</row>
    <row r="80" ht="15.75" customHeight="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</row>
    <row r="81" ht="15.75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</row>
    <row r="82" ht="15.75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</row>
    <row r="83" ht="15.75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</row>
    <row r="84" ht="15.75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</row>
    <row r="85" ht="15.75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</row>
    <row r="86" ht="15.75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</row>
    <row r="87" ht="15.75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</row>
    <row r="88" ht="15.75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</row>
    <row r="89" ht="15.75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</row>
    <row r="90" ht="15.75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</row>
    <row r="91" ht="15.75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</row>
    <row r="92" ht="15.75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</row>
    <row r="93" ht="15.75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</row>
    <row r="94" ht="15.75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</row>
    <row r="95" ht="15.75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</row>
    <row r="96" ht="15.75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</row>
    <row r="97" ht="15.7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</row>
    <row r="98" ht="15.7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</row>
    <row r="99" ht="15.7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</row>
    <row r="100" ht="15.7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</row>
    <row r="101" ht="15.75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</row>
    <row r="102" ht="15.75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</row>
    <row r="103" ht="15.75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</row>
    <row r="104" ht="15.75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</row>
    <row r="105" ht="15.7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</row>
    <row r="106" ht="15.75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</row>
    <row r="107" ht="15.75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</row>
    <row r="108" ht="15.75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</row>
    <row r="109" ht="15.75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</row>
    <row r="110" ht="15.75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</row>
    <row r="111" ht="15.75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</row>
    <row r="112" ht="15.75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</row>
    <row r="113" ht="15.75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</row>
    <row r="114" ht="15.75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</row>
    <row r="115" ht="15.75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</row>
    <row r="116" ht="15.75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</row>
    <row r="117" ht="15.7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</row>
    <row r="118" ht="15.75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</row>
    <row r="119" ht="15.7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</row>
    <row r="120" ht="15.7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</row>
    <row r="121" ht="15.7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</row>
    <row r="122" ht="15.75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</row>
    <row r="123" ht="15.7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</row>
    <row r="124" ht="15.75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</row>
    <row r="125" ht="15.7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</row>
    <row r="126" ht="15.7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</row>
    <row r="127" ht="15.7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</row>
    <row r="128" ht="15.7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</row>
    <row r="129" ht="15.7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</row>
    <row r="130" ht="15.7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</row>
    <row r="131" ht="15.7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</row>
    <row r="132" ht="15.7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</row>
    <row r="133" ht="15.7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</row>
    <row r="134" ht="15.75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</row>
    <row r="135" ht="15.7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</row>
    <row r="136" ht="15.7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</row>
    <row r="137" ht="15.7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</row>
    <row r="138" ht="15.7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</row>
    <row r="139" ht="15.7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</row>
    <row r="140" ht="15.7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</row>
    <row r="141" ht="15.7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</row>
    <row r="142" ht="15.7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</row>
    <row r="143" ht="15.7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</row>
    <row r="144" ht="15.7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</row>
    <row r="145" ht="15.7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</row>
    <row r="146" ht="15.7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</row>
    <row r="147" ht="15.7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</row>
    <row r="148" ht="15.7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</row>
    <row r="149" ht="15.7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</row>
    <row r="150" ht="15.7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</row>
    <row r="151" ht="15.7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</row>
    <row r="152" ht="15.7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</row>
    <row r="153" ht="15.7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</row>
    <row r="154" ht="15.7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</row>
    <row r="155" ht="15.7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</row>
    <row r="156" ht="15.7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</row>
    <row r="157" ht="15.7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</row>
    <row r="158" ht="15.7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</row>
    <row r="159" ht="15.7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</row>
    <row r="160" ht="15.7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</row>
    <row r="161" ht="15.7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</row>
    <row r="162" ht="15.7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</row>
    <row r="163" ht="15.7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</row>
    <row r="164" ht="15.7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</row>
    <row r="165" ht="15.7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</row>
    <row r="166" ht="15.7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</row>
    <row r="167" ht="15.7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</row>
    <row r="168" ht="15.7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</row>
    <row r="169" ht="15.7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</row>
    <row r="170" ht="15.7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</row>
    <row r="171" ht="15.7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</row>
    <row r="172" ht="15.7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</row>
    <row r="173" ht="15.7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</row>
    <row r="174" ht="15.7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</row>
    <row r="175" ht="15.7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</row>
    <row r="176" ht="15.7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</row>
    <row r="177" ht="15.7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</row>
    <row r="178" ht="15.7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</row>
    <row r="179" ht="15.7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</row>
    <row r="180" ht="15.7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</row>
    <row r="181" ht="15.7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</row>
    <row r="182" ht="15.7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</row>
    <row r="183" ht="15.7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</row>
    <row r="184" ht="15.7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</row>
    <row r="185" ht="15.7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</row>
    <row r="186" ht="15.7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</row>
    <row r="187" ht="15.7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</row>
    <row r="188" ht="15.7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</row>
    <row r="189" ht="15.7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</row>
    <row r="190" ht="15.7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</row>
    <row r="191" ht="15.7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</row>
    <row r="192" ht="15.7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</row>
    <row r="193" ht="15.7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</row>
    <row r="194" ht="15.7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</row>
    <row r="195" ht="15.7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</row>
    <row r="196" ht="15.7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</row>
    <row r="197" ht="15.7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</row>
    <row r="198" ht="15.7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</row>
    <row r="199" ht="15.7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</row>
    <row r="200" ht="15.7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</row>
    <row r="201" ht="15.7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</row>
    <row r="202" ht="15.7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</row>
    <row r="203" ht="15.7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</row>
    <row r="204" ht="15.7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</row>
    <row r="205" ht="15.7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</row>
    <row r="206" ht="15.7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</row>
    <row r="207" ht="15.7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</row>
    <row r="208" ht="15.7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</row>
    <row r="209" ht="15.7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</row>
    <row r="210" ht="15.7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</row>
    <row r="211" ht="15.7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</row>
    <row r="212" ht="15.7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</row>
    <row r="213" ht="15.7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</row>
    <row r="214" ht="15.7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</row>
    <row r="215" ht="15.7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</row>
    <row r="216" ht="15.7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</row>
    <row r="217" ht="15.7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</row>
    <row r="218" ht="15.7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</row>
    <row r="219" ht="15.7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</row>
    <row r="220" ht="15.7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</row>
    <row r="221" ht="15.75" customHeight="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</row>
    <row r="222" ht="15.75" customHeight="1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</row>
    <row r="223" ht="15.75" customHeight="1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</row>
    <row r="224" ht="15.75" customHeight="1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</row>
    <row r="225" ht="15.75" customHeight="1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</row>
    <row r="226" ht="15.75" customHeight="1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</row>
    <row r="227" ht="15.75" customHeight="1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</row>
    <row r="228" ht="15.75" customHeight="1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</row>
    <row r="229" ht="15.75" customHeight="1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</row>
    <row r="230" ht="15.75" customHeight="1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</row>
    <row r="231" ht="15.75" customHeight="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</row>
    <row r="232" ht="15.75" customHeight="1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</row>
    <row r="233" ht="15.75" customHeight="1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</row>
    <row r="234" ht="15.75" customHeight="1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</row>
    <row r="235" ht="15.75" customHeight="1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</row>
    <row r="236" ht="15.75" customHeight="1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</row>
    <row r="237" ht="15.75" customHeight="1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</row>
    <row r="238" ht="15.75" customHeight="1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</row>
    <row r="239" ht="15.75" customHeight="1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</row>
    <row r="240" ht="15.75" customHeight="1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</row>
    <row r="241" ht="15.75" customHeight="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</row>
    <row r="242" ht="15.75" customHeight="1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</row>
    <row r="243" ht="15.75" customHeight="1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</row>
    <row r="244" ht="15.75" customHeight="1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</row>
    <row r="245" ht="15.75" customHeight="1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</row>
    <row r="246" ht="15.75" customHeight="1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</row>
    <row r="247" ht="15.75" customHeight="1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</row>
    <row r="248" ht="15.75" customHeight="1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</row>
    <row r="249" ht="15.75" customHeight="1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</row>
    <row r="250" ht="15.75" customHeight="1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</row>
    <row r="251" ht="15.75" customHeight="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</row>
    <row r="252" ht="15.75" customHeight="1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</row>
    <row r="253" ht="15.75" customHeight="1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</row>
    <row r="254" ht="15.75" customHeight="1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</row>
    <row r="255" ht="15.75" customHeight="1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</row>
    <row r="256" ht="15.75" customHeight="1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</row>
    <row r="257" ht="15.75" customHeight="1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</row>
    <row r="258" ht="15.75" customHeight="1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</row>
    <row r="259" ht="15.75" customHeight="1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</row>
    <row r="260" ht="15.75" customHeight="1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</row>
    <row r="261" ht="15.75" customHeight="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</row>
    <row r="262" ht="15.75" customHeight="1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</row>
    <row r="263" ht="15.75" customHeight="1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</row>
    <row r="264" ht="15.75" customHeight="1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</row>
    <row r="265" ht="15.75" customHeight="1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</row>
    <row r="266" ht="15.75" customHeight="1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</row>
    <row r="267" ht="15.75" customHeight="1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</row>
    <row r="268" ht="15.75" customHeight="1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</row>
    <row r="269" ht="15.75" customHeight="1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</row>
    <row r="270" ht="15.75" customHeight="1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</row>
    <row r="271" ht="15.75" customHeight="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</row>
    <row r="272" ht="15.75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</row>
    <row r="273" ht="15.75" customHeight="1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</row>
    <row r="274" ht="15.75" customHeight="1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</row>
    <row r="275" ht="15.75" customHeight="1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</row>
    <row r="276" ht="15.75" customHeight="1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</row>
    <row r="277" ht="15.75" customHeight="1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</row>
    <row r="278" ht="15.75" customHeight="1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</row>
    <row r="279" ht="15.75" customHeight="1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</row>
    <row r="280" ht="15.75" customHeight="1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</row>
    <row r="281" ht="15.75" customHeight="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</row>
    <row r="282" ht="15.75" customHeight="1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</row>
    <row r="283" ht="15.75" customHeight="1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</row>
    <row r="284" ht="15.75" customHeight="1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</row>
    <row r="285" ht="15.75" customHeight="1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</row>
    <row r="286" ht="15.75" customHeight="1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</row>
    <row r="287" ht="15.75" customHeight="1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</row>
    <row r="288" ht="15.75" customHeight="1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</row>
    <row r="289" ht="15.75" customHeight="1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</row>
    <row r="290" ht="15.75" customHeight="1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</row>
    <row r="291" ht="15.75" customHeight="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</row>
    <row r="292" ht="15.75" customHeight="1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</row>
    <row r="293" ht="15.75" customHeight="1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</row>
    <row r="294" ht="15.75" customHeight="1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</row>
    <row r="295" ht="15.75" customHeight="1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</row>
    <row r="296" ht="15.75" customHeight="1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</row>
    <row r="297" ht="15.75" customHeight="1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</row>
    <row r="298" ht="15.75" customHeight="1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</row>
    <row r="299" ht="15.75" customHeight="1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</row>
    <row r="300" ht="15.75" customHeight="1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</row>
    <row r="301" ht="15.75" customHeight="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</row>
    <row r="302" ht="15.75" customHeight="1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</row>
    <row r="303" ht="15.75" customHeight="1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</row>
    <row r="304" ht="15.75" customHeight="1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</row>
    <row r="305" ht="15.75" customHeight="1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</row>
    <row r="306" ht="15.75" customHeight="1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</row>
    <row r="307" ht="15.75" customHeight="1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</row>
    <row r="308" ht="15.75" customHeight="1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</row>
    <row r="309" ht="15.75" customHeight="1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</row>
    <row r="310" ht="15.75" customHeight="1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</row>
    <row r="311" ht="15.75" customHeight="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</row>
    <row r="312" ht="15.75" customHeight="1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</row>
    <row r="313" ht="15.75" customHeight="1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</row>
    <row r="314" ht="15.75" customHeight="1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</row>
    <row r="315" ht="15.75" customHeight="1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</row>
    <row r="316" ht="15.75" customHeight="1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</row>
    <row r="317" ht="15.75" customHeight="1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</row>
    <row r="318" ht="15.75" customHeight="1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</row>
    <row r="319" ht="15.75" customHeight="1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</row>
    <row r="320" ht="15.75" customHeight="1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</row>
    <row r="321" ht="15.75" customHeight="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</row>
    <row r="322" ht="15.75" customHeight="1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</row>
    <row r="323" ht="15.75" customHeight="1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</row>
    <row r="324" ht="15.75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</row>
    <row r="325" ht="15.75" customHeight="1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</row>
    <row r="326" ht="15.75" customHeight="1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</row>
    <row r="327" ht="15.75" customHeight="1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</row>
    <row r="328" ht="15.75" customHeight="1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</row>
    <row r="329" ht="15.75" customHeight="1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</row>
    <row r="330" ht="15.75" customHeight="1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</row>
    <row r="331" ht="15.75" customHeight="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</row>
    <row r="332" ht="15.75" customHeight="1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</row>
    <row r="333" ht="15.75" customHeight="1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</row>
    <row r="334" ht="15.75" customHeight="1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</row>
    <row r="335" ht="15.75" customHeight="1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</row>
    <row r="336" ht="15.75" customHeight="1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</row>
    <row r="337" ht="15.75" customHeight="1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</row>
    <row r="338" ht="15.75" customHeight="1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</row>
    <row r="339" ht="15.75" customHeight="1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</row>
    <row r="340" ht="15.75" customHeight="1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</row>
    <row r="341" ht="15.75" customHeight="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</row>
    <row r="342" ht="15.75" customHeight="1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</row>
    <row r="343" ht="15.75" customHeight="1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</row>
    <row r="344" ht="15.75" customHeight="1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</row>
    <row r="345" ht="15.75" customHeight="1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</row>
    <row r="346" ht="15.75" customHeight="1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</row>
    <row r="347" ht="15.75" customHeight="1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</row>
    <row r="348" ht="15.75" customHeight="1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</row>
    <row r="349" ht="15.75" customHeight="1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</row>
    <row r="350" ht="15.75" customHeight="1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</row>
    <row r="351" ht="15.75" customHeight="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</row>
    <row r="352" ht="15.75" customHeight="1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</row>
    <row r="353" ht="15.75" customHeight="1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</row>
    <row r="354" ht="15.75" customHeight="1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</row>
    <row r="355" ht="15.75" customHeight="1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</row>
    <row r="356" ht="15.75" customHeight="1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</row>
    <row r="357" ht="15.75" customHeight="1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</row>
    <row r="358" ht="15.75" customHeight="1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</row>
    <row r="359" ht="15.75" customHeight="1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</row>
    <row r="360" ht="15.75" customHeight="1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</row>
    <row r="361" ht="15.75" customHeight="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</row>
    <row r="362" ht="15.75" customHeight="1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</row>
    <row r="363" ht="15.75" customHeight="1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</row>
    <row r="364" ht="15.75" customHeight="1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</row>
    <row r="365" ht="15.75" customHeight="1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</row>
    <row r="366" ht="15.75" customHeight="1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</row>
    <row r="367" ht="15.75" customHeight="1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</row>
    <row r="368" ht="15.75" customHeight="1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</row>
    <row r="369" ht="15.75" customHeight="1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</row>
    <row r="370" ht="15.75" customHeight="1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</row>
    <row r="371" ht="15.75" customHeight="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</row>
    <row r="372" ht="15.75" customHeight="1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</row>
    <row r="373" ht="15.75" customHeight="1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</row>
    <row r="374" ht="15.75" customHeight="1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</row>
    <row r="375" ht="15.75" customHeight="1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</row>
    <row r="376" ht="15.75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</row>
    <row r="377" ht="15.75" customHeight="1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</row>
    <row r="378" ht="15.75" customHeight="1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</row>
    <row r="379" ht="15.75" customHeight="1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</row>
    <row r="380" ht="15.75" customHeight="1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</row>
    <row r="381" ht="15.75" customHeight="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</row>
    <row r="382" ht="15.75" customHeight="1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</row>
    <row r="383" ht="15.75" customHeight="1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</row>
    <row r="384" ht="15.75" customHeight="1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</row>
    <row r="385" ht="15.75" customHeight="1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</row>
    <row r="386" ht="15.75" customHeight="1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</row>
    <row r="387" ht="15.75" customHeight="1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</row>
    <row r="388" ht="15.75" customHeight="1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</row>
    <row r="389" ht="15.75" customHeight="1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</row>
    <row r="390" ht="15.75" customHeight="1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</row>
    <row r="391" ht="15.75" customHeight="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</row>
    <row r="392" ht="15.75" customHeight="1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</row>
    <row r="393" ht="15.75" customHeight="1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</row>
    <row r="394" ht="15.75" customHeight="1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</row>
    <row r="395" ht="15.75" customHeight="1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</row>
    <row r="396" ht="15.75" customHeight="1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</row>
    <row r="397" ht="15.75" customHeight="1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</row>
    <row r="398" ht="15.75" customHeight="1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</row>
    <row r="399" ht="15.75" customHeight="1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</row>
    <row r="400" ht="15.75" customHeight="1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</row>
    <row r="401" ht="15.75" customHeight="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</row>
    <row r="402" ht="15.75" customHeight="1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</row>
    <row r="403" ht="15.75" customHeight="1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</row>
    <row r="404" ht="15.75" customHeight="1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</row>
    <row r="405" ht="15.75" customHeight="1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</row>
    <row r="406" ht="15.75" customHeight="1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</row>
    <row r="407" ht="15.75" customHeight="1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</row>
    <row r="408" ht="15.75" customHeight="1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</row>
    <row r="409" ht="15.75" customHeight="1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</row>
    <row r="410" ht="15.75" customHeight="1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</row>
    <row r="411" ht="15.75" customHeight="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</row>
    <row r="412" ht="15.75" customHeight="1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</row>
    <row r="413" ht="15.75" customHeight="1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</row>
    <row r="414" ht="15.75" customHeight="1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</row>
    <row r="415" ht="15.75" customHeight="1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</row>
    <row r="416" ht="15.75" customHeight="1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</row>
    <row r="417" ht="15.75" customHeight="1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</row>
    <row r="418" ht="15.75" customHeight="1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</row>
    <row r="419" ht="15.75" customHeight="1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</row>
    <row r="420" ht="15.75" customHeight="1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</row>
    <row r="421" ht="15.75" customHeight="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</row>
    <row r="422" ht="15.75" customHeight="1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</row>
    <row r="423" ht="15.75" customHeight="1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</row>
    <row r="424" ht="15.75" customHeight="1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</row>
    <row r="425" ht="15.75" customHeight="1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</row>
    <row r="426" ht="15.75" customHeight="1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</row>
    <row r="427" ht="15.75" customHeight="1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</row>
    <row r="428" ht="15.75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</row>
    <row r="429" ht="15.75" customHeight="1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</row>
    <row r="430" ht="15.75" customHeight="1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</row>
    <row r="431" ht="15.75" customHeight="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</row>
    <row r="432" ht="15.75" customHeight="1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</row>
    <row r="433" ht="15.75" customHeight="1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</row>
    <row r="434" ht="15.75" customHeight="1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</row>
    <row r="435" ht="15.75" customHeight="1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</row>
    <row r="436" ht="15.75" customHeight="1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</row>
    <row r="437" ht="15.75" customHeight="1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</row>
    <row r="438" ht="15.75" customHeight="1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</row>
    <row r="439" ht="15.75" customHeight="1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</row>
    <row r="440" ht="15.75" customHeight="1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</row>
    <row r="441" ht="15.75" customHeight="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</row>
    <row r="442" ht="15.75" customHeight="1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</row>
    <row r="443" ht="15.75" customHeight="1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</row>
    <row r="444" ht="15.75" customHeight="1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</row>
    <row r="445" ht="15.75" customHeight="1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</row>
    <row r="446" ht="15.75" customHeight="1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</row>
    <row r="447" ht="15.75" customHeight="1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</row>
    <row r="448" ht="15.75" customHeight="1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</row>
    <row r="449" ht="15.75" customHeight="1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</row>
    <row r="450" ht="15.75" customHeight="1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</row>
    <row r="451" ht="15.75" customHeight="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</row>
    <row r="452" ht="15.75" customHeight="1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</row>
    <row r="453" ht="15.75" customHeight="1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</row>
    <row r="454" ht="15.75" customHeight="1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</row>
    <row r="455" ht="15.75" customHeight="1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</row>
    <row r="456" ht="15.75" customHeight="1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</row>
    <row r="457" ht="15.75" customHeight="1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</row>
    <row r="458" ht="15.75" customHeight="1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</row>
    <row r="459" ht="15.75" customHeight="1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</row>
    <row r="460" ht="15.75" customHeight="1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</row>
    <row r="461" ht="15.75" customHeight="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</row>
    <row r="462" ht="15.75" customHeight="1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</row>
    <row r="463" ht="15.75" customHeight="1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</row>
    <row r="464" ht="15.75" customHeight="1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</row>
    <row r="465" ht="15.75" customHeight="1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</row>
    <row r="466" ht="15.75" customHeight="1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</row>
    <row r="467" ht="15.75" customHeight="1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</row>
    <row r="468" ht="15.75" customHeight="1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</row>
    <row r="469" ht="15.75" customHeight="1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</row>
    <row r="470" ht="15.75" customHeight="1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</row>
    <row r="471" ht="15.75" customHeight="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</row>
    <row r="472" ht="15.75" customHeight="1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</row>
    <row r="473" ht="15.75" customHeight="1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</row>
    <row r="474" ht="15.75" customHeight="1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</row>
    <row r="475" ht="15.75" customHeight="1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</row>
    <row r="476" ht="15.75" customHeight="1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</row>
    <row r="477" ht="15.75" customHeight="1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</row>
    <row r="478" ht="15.75" customHeight="1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</row>
    <row r="479" ht="15.75" customHeight="1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</row>
    <row r="480" ht="15.75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</row>
    <row r="481" ht="15.75" customHeight="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</row>
    <row r="482" ht="15.75" customHeight="1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</row>
    <row r="483" ht="15.75" customHeight="1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</row>
    <row r="484" ht="15.75" customHeight="1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</row>
    <row r="485" ht="15.75" customHeight="1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</row>
    <row r="486" ht="15.75" customHeight="1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</row>
    <row r="487" ht="15.75" customHeight="1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</row>
    <row r="488" ht="15.75" customHeight="1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</row>
    <row r="489" ht="15.75" customHeight="1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</row>
    <row r="490" ht="15.75" customHeight="1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</row>
    <row r="491" ht="15.75" customHeight="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</row>
    <row r="492" ht="15.75" customHeight="1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</row>
    <row r="493" ht="15.75" customHeight="1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</row>
    <row r="494" ht="15.75" customHeight="1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</row>
    <row r="495" ht="15.75" customHeight="1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</row>
    <row r="496" ht="15.75" customHeight="1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</row>
    <row r="497" ht="15.75" customHeight="1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</row>
    <row r="498" ht="15.75" customHeight="1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</row>
    <row r="499" ht="15.75" customHeight="1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</row>
    <row r="500" ht="15.75" customHeight="1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17"/>
    </row>
    <row r="501" ht="15.75" customHeight="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  <c r="AF501" s="17"/>
    </row>
    <row r="502" ht="15.75" customHeight="1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17"/>
    </row>
    <row r="503" ht="15.75" customHeight="1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17"/>
    </row>
    <row r="504" ht="15.75" customHeight="1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  <c r="AF504" s="17"/>
    </row>
    <row r="505" ht="15.75" customHeight="1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17"/>
    </row>
    <row r="506" ht="15.75" customHeight="1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17"/>
    </row>
    <row r="507" ht="15.75" customHeight="1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  <c r="AF507" s="17"/>
    </row>
    <row r="508" ht="15.75" customHeight="1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</row>
    <row r="509" ht="15.75" customHeight="1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</row>
    <row r="510" ht="15.75" customHeight="1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17"/>
    </row>
    <row r="511" ht="15.75" customHeight="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  <c r="AF511" s="17"/>
    </row>
    <row r="512" ht="15.75" customHeight="1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17"/>
    </row>
    <row r="513" ht="15.75" customHeight="1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17"/>
    </row>
    <row r="514" ht="15.75" customHeight="1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17"/>
    </row>
    <row r="515" ht="15.75" customHeight="1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17"/>
    </row>
    <row r="516" ht="15.75" customHeight="1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17"/>
    </row>
    <row r="517" ht="15.75" customHeight="1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17"/>
    </row>
    <row r="518" ht="15.75" customHeight="1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17"/>
    </row>
    <row r="519" ht="15.75" customHeight="1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17"/>
    </row>
    <row r="520" ht="15.75" customHeight="1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17"/>
    </row>
    <row r="521" ht="15.75" customHeight="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17"/>
    </row>
    <row r="522" ht="15.75" customHeight="1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17"/>
    </row>
    <row r="523" ht="15.75" customHeight="1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  <c r="AF523" s="17"/>
    </row>
    <row r="524" ht="15.75" customHeight="1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17"/>
    </row>
    <row r="525" ht="15.75" customHeight="1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  <c r="AF525" s="17"/>
    </row>
    <row r="526" ht="15.75" customHeight="1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  <c r="AF526" s="17"/>
    </row>
    <row r="527" ht="15.75" customHeight="1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  <c r="AF527" s="17"/>
    </row>
    <row r="528" ht="15.75" customHeight="1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17"/>
    </row>
    <row r="529" ht="15.75" customHeight="1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  <c r="AF529" s="17"/>
    </row>
    <row r="530" ht="15.75" customHeight="1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17"/>
    </row>
    <row r="531" ht="15.75" customHeight="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  <c r="AF531" s="17"/>
    </row>
    <row r="532" ht="15.75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</row>
    <row r="533" ht="15.75" customHeight="1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17"/>
    </row>
    <row r="534" ht="15.75" customHeight="1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17"/>
    </row>
    <row r="535" ht="15.75" customHeight="1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  <c r="AF535" s="17"/>
    </row>
    <row r="536" ht="15.75" customHeight="1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17"/>
    </row>
    <row r="537" ht="15.75" customHeight="1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  <c r="AF537" s="17"/>
    </row>
    <row r="538" ht="15.75" customHeight="1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</row>
    <row r="539" ht="15.75" customHeight="1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17"/>
    </row>
    <row r="540" ht="15.75" customHeight="1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17"/>
    </row>
    <row r="541" ht="15.75" customHeight="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  <c r="AF541" s="17"/>
    </row>
    <row r="542" ht="15.75" customHeight="1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17"/>
    </row>
    <row r="543" ht="15.75" customHeight="1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17"/>
    </row>
    <row r="544" ht="15.75" customHeight="1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  <c r="AF544" s="17"/>
    </row>
    <row r="545" ht="15.75" customHeight="1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  <c r="AF545" s="17"/>
    </row>
    <row r="546" ht="15.75" customHeight="1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  <c r="AF546" s="17"/>
    </row>
    <row r="547" ht="15.75" customHeight="1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  <c r="AF547" s="17"/>
    </row>
    <row r="548" ht="15.75" customHeight="1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17"/>
    </row>
    <row r="549" ht="15.75" customHeight="1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  <c r="AF549" s="17"/>
    </row>
    <row r="550" ht="15.75" customHeight="1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17"/>
    </row>
    <row r="551" ht="15.75" customHeight="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17"/>
    </row>
    <row r="552" ht="15.75" customHeight="1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17"/>
    </row>
    <row r="553" ht="15.75" customHeight="1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17"/>
    </row>
    <row r="554" ht="15.75" customHeight="1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17"/>
    </row>
    <row r="555" ht="15.75" customHeight="1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  <c r="AF555" s="17"/>
    </row>
    <row r="556" ht="15.75" customHeight="1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17"/>
    </row>
    <row r="557" ht="15.75" customHeight="1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17"/>
    </row>
    <row r="558" ht="15.75" customHeight="1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17"/>
    </row>
    <row r="559" ht="15.75" customHeight="1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17"/>
    </row>
    <row r="560" ht="15.75" customHeight="1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  <c r="AF560" s="17"/>
    </row>
    <row r="561" ht="15.75" customHeight="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  <c r="AF561" s="17"/>
    </row>
    <row r="562" ht="15.75" customHeight="1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17"/>
    </row>
    <row r="563" ht="15.75" customHeight="1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</row>
    <row r="564" ht="15.75" customHeight="1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</row>
    <row r="565" ht="15.75" customHeight="1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  <c r="AF565" s="17"/>
    </row>
    <row r="566" ht="15.75" customHeight="1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17"/>
    </row>
    <row r="567" ht="15.75" customHeight="1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  <c r="AF567" s="17"/>
    </row>
    <row r="568" ht="15.75" customHeight="1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  <c r="AF568" s="17"/>
    </row>
    <row r="569" ht="15.75" customHeight="1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  <c r="AF569" s="17"/>
    </row>
    <row r="570" ht="15.75" customHeight="1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17"/>
    </row>
    <row r="571" ht="15.75" customHeight="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  <c r="AF571" s="17"/>
    </row>
    <row r="572" ht="15.75" customHeight="1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17"/>
    </row>
    <row r="573" ht="15.75" customHeight="1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  <c r="AF573" s="17"/>
    </row>
    <row r="574" ht="15.75" customHeight="1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17"/>
    </row>
    <row r="575" ht="15.75" customHeight="1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  <c r="AF575" s="17"/>
    </row>
    <row r="576" ht="15.75" customHeight="1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17"/>
    </row>
    <row r="577" ht="15.75" customHeight="1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  <c r="AF577" s="17"/>
    </row>
    <row r="578" ht="15.75" customHeight="1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  <c r="AF578" s="17"/>
    </row>
    <row r="579" ht="15.75" customHeight="1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  <c r="AF579" s="17"/>
    </row>
    <row r="580" ht="15.75" customHeight="1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  <c r="AF580" s="17"/>
    </row>
    <row r="581" ht="15.75" customHeight="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  <c r="AF581" s="17"/>
    </row>
    <row r="582" ht="15.75" customHeight="1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  <c r="AF582" s="17"/>
    </row>
    <row r="583" ht="15.75" customHeight="1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  <c r="AF583" s="17"/>
    </row>
    <row r="584" ht="15.75" customHeight="1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  <c r="AF584" s="17"/>
    </row>
    <row r="585" ht="15.75" customHeight="1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  <c r="AF585" s="17"/>
    </row>
    <row r="586" ht="15.75" customHeight="1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  <c r="AF586" s="17"/>
    </row>
    <row r="587" ht="15.75" customHeight="1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  <c r="AF587" s="17"/>
    </row>
    <row r="588" ht="15.75" customHeight="1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  <c r="AF588" s="17"/>
    </row>
    <row r="589" ht="15.75" customHeight="1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  <c r="AF589" s="17"/>
    </row>
    <row r="590" ht="15.75" customHeight="1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  <c r="AF590" s="17"/>
    </row>
    <row r="591" ht="15.75" customHeight="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  <c r="AF591" s="17"/>
    </row>
    <row r="592" ht="15.75" customHeight="1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17"/>
    </row>
    <row r="593" ht="15.75" customHeight="1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  <c r="AF593" s="17"/>
    </row>
    <row r="594" ht="15.75" customHeight="1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  <c r="AF594" s="17"/>
    </row>
    <row r="595" ht="15.75" customHeight="1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  <c r="AF595" s="17"/>
    </row>
    <row r="596" ht="15.75" customHeight="1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  <c r="AF596" s="17"/>
    </row>
    <row r="597" ht="15.75" customHeight="1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  <c r="AF597" s="17"/>
    </row>
    <row r="598" ht="15.75" customHeight="1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  <c r="AF598" s="17"/>
    </row>
    <row r="599" ht="15.75" customHeight="1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  <c r="AF599" s="17"/>
    </row>
    <row r="600" ht="15.75" customHeight="1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  <c r="AF600" s="17"/>
    </row>
    <row r="601" ht="15.75" customHeight="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  <c r="AF601" s="17"/>
    </row>
    <row r="602" ht="15.75" customHeight="1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  <c r="AF602" s="17"/>
    </row>
    <row r="603" ht="15.75" customHeight="1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  <c r="AF603" s="17"/>
    </row>
    <row r="604" ht="15.75" customHeight="1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  <c r="AF604" s="17"/>
    </row>
    <row r="605" ht="15.75" customHeight="1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  <c r="AF605" s="17"/>
    </row>
    <row r="606" ht="15.75" customHeight="1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  <c r="AF606" s="17"/>
    </row>
    <row r="607" ht="15.75" customHeight="1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  <c r="AF607" s="17"/>
    </row>
    <row r="608" ht="15.75" customHeight="1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  <c r="AF608" s="17"/>
    </row>
    <row r="609" ht="15.75" customHeight="1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  <c r="AF609" s="17"/>
    </row>
    <row r="610" ht="15.75" customHeight="1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  <c r="AF610" s="17"/>
    </row>
    <row r="611" ht="15.75" customHeight="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  <c r="AF611" s="17"/>
    </row>
    <row r="612" ht="15.75" customHeight="1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  <c r="AF612" s="17"/>
    </row>
    <row r="613" ht="15.75" customHeight="1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  <c r="AF613" s="17"/>
    </row>
    <row r="614" ht="15.75" customHeight="1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  <c r="AF614" s="17"/>
    </row>
    <row r="615" ht="15.75" customHeight="1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  <c r="AF615" s="17"/>
    </row>
    <row r="616" ht="15.75" customHeight="1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  <c r="AF616" s="17"/>
    </row>
    <row r="617" ht="15.75" customHeight="1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  <c r="AF617" s="17"/>
    </row>
    <row r="618" ht="15.75" customHeight="1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  <c r="AF618" s="17"/>
    </row>
    <row r="619" ht="15.75" customHeight="1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  <c r="AF619" s="17"/>
    </row>
    <row r="620" ht="15.75" customHeight="1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  <c r="AF620" s="17"/>
    </row>
    <row r="621" ht="15.75" customHeight="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  <c r="AF621" s="17"/>
    </row>
    <row r="622" ht="15.75" customHeight="1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  <c r="AF622" s="17"/>
    </row>
    <row r="623" ht="15.75" customHeight="1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  <c r="AF623" s="17"/>
    </row>
    <row r="624" ht="15.75" customHeight="1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  <c r="AF624" s="17"/>
    </row>
    <row r="625" ht="15.75" customHeight="1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  <c r="AF625" s="17"/>
    </row>
    <row r="626" ht="15.75" customHeight="1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  <c r="AF626" s="17"/>
    </row>
    <row r="627" ht="15.75" customHeight="1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  <c r="AF627" s="17"/>
    </row>
    <row r="628" ht="15.75" customHeight="1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  <c r="AF628" s="17"/>
    </row>
    <row r="629" ht="15.75" customHeight="1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  <c r="AF629" s="17"/>
    </row>
    <row r="630" ht="15.75" customHeight="1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  <c r="AF630" s="17"/>
    </row>
    <row r="631" ht="15.75" customHeight="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  <c r="AF631" s="17"/>
    </row>
    <row r="632" ht="15.75" customHeight="1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  <c r="AF632" s="17"/>
    </row>
    <row r="633" ht="15.75" customHeight="1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  <c r="AF633" s="17"/>
    </row>
    <row r="634" ht="15.75" customHeight="1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  <c r="AF634" s="17"/>
    </row>
    <row r="635" ht="15.75" customHeight="1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  <c r="AF635" s="17"/>
    </row>
    <row r="636" ht="15.75" customHeight="1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  <c r="AF636" s="17"/>
    </row>
    <row r="637" ht="15.75" customHeight="1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  <c r="AF637" s="17"/>
    </row>
    <row r="638" ht="15.75" customHeight="1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  <c r="AF638" s="17"/>
    </row>
    <row r="639" ht="15.75" customHeight="1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  <c r="AF639" s="17"/>
    </row>
    <row r="640" ht="15.75" customHeight="1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  <c r="AF640" s="17"/>
    </row>
    <row r="641" ht="15.75" customHeight="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  <c r="AF641" s="17"/>
    </row>
    <row r="642" ht="15.75" customHeight="1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  <c r="AF642" s="17"/>
    </row>
    <row r="643" ht="15.75" customHeight="1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  <c r="AF643" s="17"/>
    </row>
    <row r="644" ht="15.75" customHeight="1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  <c r="AF644" s="17"/>
    </row>
    <row r="645" ht="15.75" customHeight="1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  <c r="AF645" s="17"/>
    </row>
    <row r="646" ht="15.75" customHeight="1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  <c r="AF646" s="17"/>
    </row>
    <row r="647" ht="15.75" customHeight="1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  <c r="AF647" s="17"/>
    </row>
    <row r="648" ht="15.75" customHeight="1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  <c r="AF648" s="17"/>
    </row>
    <row r="649" ht="15.75" customHeight="1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  <c r="AF649" s="17"/>
    </row>
    <row r="650" ht="15.75" customHeight="1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  <c r="AF650" s="17"/>
    </row>
    <row r="651" ht="15.75" customHeight="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  <c r="AF651" s="17"/>
    </row>
    <row r="652" ht="15.75" customHeight="1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</row>
    <row r="653" ht="15.75" customHeight="1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</row>
    <row r="654" ht="15.75" customHeight="1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</row>
    <row r="655" ht="15.75" customHeight="1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</row>
    <row r="656" ht="15.75" customHeight="1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</row>
    <row r="657" ht="15.75" customHeight="1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</row>
    <row r="658" ht="15.75" customHeight="1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</row>
    <row r="659" ht="15.75" customHeight="1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</row>
    <row r="660" ht="15.75" customHeight="1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</row>
    <row r="661" ht="15.75" customHeight="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</row>
    <row r="662" ht="15.75" customHeight="1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</row>
    <row r="663" ht="15.75" customHeight="1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</row>
    <row r="664" ht="15.75" customHeight="1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</row>
    <row r="665" ht="15.75" customHeight="1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</row>
    <row r="666" ht="15.75" customHeight="1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</row>
    <row r="667" ht="15.75" customHeight="1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</row>
    <row r="668" ht="15.75" customHeight="1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</row>
    <row r="669" ht="15.75" customHeight="1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</row>
    <row r="670" ht="15.75" customHeight="1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</row>
    <row r="671" ht="15.75" customHeight="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</row>
    <row r="672" ht="15.75" customHeight="1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</row>
    <row r="673" ht="15.75" customHeight="1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</row>
    <row r="674" ht="15.75" customHeight="1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</row>
    <row r="675" ht="15.75" customHeight="1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</row>
    <row r="676" ht="15.75" customHeight="1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</row>
    <row r="677" ht="15.75" customHeight="1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</row>
    <row r="678" ht="15.75" customHeight="1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</row>
    <row r="679" ht="15.75" customHeight="1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</row>
    <row r="680" ht="15.75" customHeight="1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</row>
    <row r="681" ht="15.75" customHeight="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</row>
    <row r="682" ht="15.75" customHeight="1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</row>
    <row r="683" ht="15.75" customHeight="1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</row>
    <row r="684" ht="15.75" customHeight="1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</row>
    <row r="685" ht="15.75" customHeight="1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</row>
    <row r="686" ht="15.75" customHeight="1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</row>
    <row r="687" ht="15.75" customHeight="1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</row>
    <row r="688" ht="15.75" customHeight="1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</row>
    <row r="689" ht="15.75" customHeight="1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</row>
    <row r="690" ht="15.75" customHeight="1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</row>
    <row r="691" ht="15.75" customHeight="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</row>
    <row r="692" ht="15.75" customHeight="1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</row>
    <row r="693" ht="15.75" customHeight="1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</row>
    <row r="694" ht="15.75" customHeight="1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</row>
    <row r="695" ht="15.75" customHeight="1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</row>
    <row r="696" ht="15.75" customHeight="1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</row>
    <row r="697" ht="15.75" customHeight="1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</row>
    <row r="698" ht="15.75" customHeight="1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</row>
    <row r="699" ht="15.75" customHeight="1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</row>
    <row r="700" ht="15.75" customHeight="1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</row>
    <row r="701" ht="15.75" customHeight="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</row>
    <row r="702" ht="15.75" customHeight="1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</row>
    <row r="703" ht="15.75" customHeight="1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</row>
    <row r="704" ht="15.75" customHeight="1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</row>
    <row r="705" ht="15.75" customHeight="1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</row>
    <row r="706" ht="15.75" customHeight="1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</row>
    <row r="707" ht="15.75" customHeight="1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</row>
    <row r="708" ht="15.75" customHeight="1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</row>
    <row r="709" ht="15.75" customHeight="1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</row>
    <row r="710" ht="15.75" customHeight="1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</row>
    <row r="711" ht="15.75" customHeight="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</row>
    <row r="712" ht="15.75" customHeight="1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</row>
    <row r="713" ht="15.75" customHeight="1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</row>
    <row r="714" ht="15.75" customHeight="1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</row>
    <row r="715" ht="15.75" customHeight="1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</row>
    <row r="716" ht="15.75" customHeight="1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</row>
    <row r="717" ht="15.75" customHeight="1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</row>
    <row r="718" ht="15.75" customHeight="1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</row>
    <row r="719" ht="15.75" customHeight="1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</row>
    <row r="720" ht="15.75" customHeight="1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</row>
    <row r="721" ht="15.75" customHeight="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</row>
    <row r="722" ht="15.75" customHeight="1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</row>
    <row r="723" ht="15.75" customHeight="1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</row>
    <row r="724" ht="15.75" customHeight="1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</row>
    <row r="725" ht="15.75" customHeight="1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</row>
    <row r="726" ht="15.75" customHeight="1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</row>
    <row r="727" ht="15.75" customHeight="1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</row>
    <row r="728" ht="15.75" customHeight="1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</row>
    <row r="729" ht="15.75" customHeight="1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</row>
    <row r="730" ht="15.75" customHeight="1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</row>
    <row r="731" ht="15.75" customHeight="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</row>
    <row r="732" ht="15.75" customHeight="1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</row>
    <row r="733" ht="15.75" customHeight="1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</row>
    <row r="734" ht="15.75" customHeight="1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</row>
    <row r="735" ht="15.75" customHeight="1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</row>
    <row r="736" ht="15.75" customHeight="1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</row>
    <row r="737" ht="15.75" customHeight="1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</row>
    <row r="738" ht="15.75" customHeight="1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</row>
    <row r="739" ht="15.75" customHeight="1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</row>
    <row r="740" ht="15.75" customHeight="1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</row>
    <row r="741" ht="15.75" customHeight="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</row>
    <row r="742" ht="15.75" customHeight="1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</row>
    <row r="743" ht="15.75" customHeight="1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</row>
    <row r="744" ht="15.75" customHeight="1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</row>
    <row r="745" ht="15.75" customHeight="1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</row>
    <row r="746" ht="15.75" customHeight="1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</row>
    <row r="747" ht="15.75" customHeight="1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</row>
    <row r="748" ht="15.75" customHeight="1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</row>
    <row r="749" ht="15.75" customHeight="1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</row>
    <row r="750" ht="15.75" customHeight="1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</row>
    <row r="751" ht="15.75" customHeight="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</row>
    <row r="752" ht="15.75" customHeight="1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</row>
    <row r="753" ht="15.75" customHeight="1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</row>
    <row r="754" ht="15.75" customHeight="1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</row>
    <row r="755" ht="15.75" customHeight="1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</row>
    <row r="756" ht="15.75" customHeight="1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</row>
    <row r="757" ht="15.75" customHeight="1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</row>
    <row r="758" ht="15.75" customHeight="1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</row>
    <row r="759" ht="15.75" customHeight="1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</row>
    <row r="760" ht="15.75" customHeight="1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</row>
    <row r="761" ht="15.75" customHeight="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</row>
    <row r="762" ht="15.75" customHeight="1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</row>
    <row r="763" ht="15.75" customHeight="1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</row>
    <row r="764" ht="15.75" customHeight="1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</row>
    <row r="765" ht="15.75" customHeight="1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</row>
    <row r="766" ht="15.75" customHeight="1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</row>
    <row r="767" ht="15.75" customHeight="1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</row>
    <row r="768" ht="15.75" customHeight="1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</row>
    <row r="769" ht="15.75" customHeight="1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</row>
    <row r="770" ht="15.75" customHeight="1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</row>
    <row r="771" ht="15.75" customHeight="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</row>
    <row r="772" ht="15.75" customHeight="1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</row>
    <row r="773" ht="15.75" customHeight="1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</row>
    <row r="774" ht="15.75" customHeight="1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</row>
    <row r="775" ht="15.75" customHeight="1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</row>
    <row r="776" ht="15.75" customHeight="1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</row>
    <row r="777" ht="15.75" customHeight="1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</row>
    <row r="778" ht="15.75" customHeight="1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</row>
    <row r="779" ht="15.75" customHeight="1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</row>
    <row r="780" ht="15.75" customHeight="1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</row>
    <row r="781" ht="15.75" customHeight="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</row>
    <row r="782" ht="15.75" customHeight="1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</row>
    <row r="783" ht="15.75" customHeight="1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</row>
    <row r="784" ht="15.75" customHeight="1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</row>
    <row r="785" ht="15.75" customHeight="1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</row>
    <row r="786" ht="15.75" customHeight="1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</row>
    <row r="787" ht="15.75" customHeight="1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</row>
    <row r="788" ht="15.75" customHeight="1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</row>
    <row r="789" ht="15.75" customHeight="1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</row>
    <row r="790" ht="15.75" customHeight="1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</row>
    <row r="791" ht="15.75" customHeight="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</row>
    <row r="792" ht="15.75" customHeight="1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</row>
    <row r="793" ht="15.75" customHeight="1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</row>
    <row r="794" ht="15.75" customHeight="1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</row>
    <row r="795" ht="15.75" customHeight="1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</row>
    <row r="796" ht="15.75" customHeight="1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</row>
    <row r="797" ht="15.75" customHeight="1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</row>
    <row r="798" ht="15.75" customHeight="1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</row>
    <row r="799" ht="15.75" customHeight="1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</row>
    <row r="800" ht="15.75" customHeight="1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</row>
    <row r="801" ht="15.75" customHeight="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</row>
    <row r="802" ht="15.75" customHeight="1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</row>
    <row r="803" ht="15.75" customHeight="1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</row>
    <row r="804" ht="15.75" customHeight="1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</row>
    <row r="805" ht="15.75" customHeight="1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</row>
    <row r="806" ht="15.75" customHeight="1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</row>
    <row r="807" ht="15.75" customHeight="1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</row>
    <row r="808" ht="15.75" customHeight="1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</row>
    <row r="809" ht="15.75" customHeight="1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</row>
    <row r="810" ht="15.75" customHeight="1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</row>
    <row r="811" ht="15.75" customHeight="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</row>
    <row r="812" ht="15.75" customHeight="1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</row>
    <row r="813" ht="15.75" customHeight="1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</row>
    <row r="814" ht="15.75" customHeight="1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</row>
    <row r="815" ht="15.75" customHeight="1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</row>
    <row r="816" ht="15.75" customHeight="1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</row>
    <row r="817" ht="15.75" customHeight="1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</row>
    <row r="818" ht="15.75" customHeight="1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</row>
    <row r="819" ht="15.75" customHeight="1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</row>
    <row r="820" ht="15.75" customHeight="1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</row>
    <row r="821" ht="15.75" customHeight="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</row>
    <row r="822" ht="15.75" customHeight="1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</row>
    <row r="823" ht="15.75" customHeight="1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</row>
    <row r="824" ht="15.75" customHeight="1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</row>
    <row r="825" ht="15.75" customHeight="1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</row>
    <row r="826" ht="15.75" customHeight="1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</row>
    <row r="827" ht="15.75" customHeight="1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</row>
    <row r="828" ht="15.75" customHeight="1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</row>
    <row r="829" ht="15.75" customHeight="1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</row>
    <row r="830" ht="15.75" customHeight="1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</row>
    <row r="831" ht="15.75" customHeight="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</row>
    <row r="832" ht="15.75" customHeight="1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</row>
    <row r="833" ht="15.75" customHeight="1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</row>
    <row r="834" ht="15.75" customHeight="1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</row>
    <row r="835" ht="15.75" customHeight="1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</row>
    <row r="836" ht="15.75" customHeight="1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</row>
    <row r="837" ht="15.75" customHeight="1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</row>
    <row r="838" ht="15.75" customHeight="1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</row>
    <row r="839" ht="15.75" customHeight="1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</row>
    <row r="840" ht="15.75" customHeight="1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</row>
    <row r="841" ht="15.75" customHeight="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</row>
    <row r="842" ht="15.75" customHeight="1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</row>
    <row r="843" ht="15.75" customHeight="1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</row>
    <row r="844" ht="15.75" customHeight="1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</row>
    <row r="845" ht="15.75" customHeight="1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</row>
    <row r="846" ht="15.75" customHeight="1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</row>
    <row r="847" ht="15.75" customHeight="1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</row>
    <row r="848" ht="15.75" customHeight="1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</row>
    <row r="849" ht="15.75" customHeight="1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</row>
    <row r="850" ht="15.75" customHeight="1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</row>
    <row r="851" ht="15.75" customHeight="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</row>
    <row r="852" ht="15.75" customHeight="1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17"/>
    </row>
    <row r="853" ht="15.75" customHeight="1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  <c r="AF853" s="17"/>
    </row>
    <row r="854" ht="15.75" customHeight="1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  <c r="AE854" s="17"/>
      <c r="AF854" s="17"/>
    </row>
    <row r="855" ht="15.75" customHeight="1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  <c r="AE855" s="17"/>
      <c r="AF855" s="17"/>
    </row>
    <row r="856" ht="15.75" customHeight="1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  <c r="AE856" s="17"/>
      <c r="AF856" s="17"/>
    </row>
    <row r="857" ht="15.75" customHeight="1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  <c r="AE857" s="17"/>
      <c r="AF857" s="17"/>
    </row>
    <row r="858" ht="15.75" customHeight="1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  <c r="AE858" s="17"/>
      <c r="AF858" s="17"/>
    </row>
    <row r="859" ht="15.75" customHeight="1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  <c r="AE859" s="17"/>
      <c r="AF859" s="17"/>
    </row>
    <row r="860" ht="15.75" customHeight="1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  <c r="AE860" s="17"/>
      <c r="AF860" s="17"/>
    </row>
    <row r="861" ht="15.75" customHeight="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  <c r="AE861" s="17"/>
      <c r="AF861" s="17"/>
    </row>
    <row r="862" ht="15.75" customHeight="1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  <c r="AF862" s="17"/>
    </row>
    <row r="863" ht="15.75" customHeight="1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  <c r="AE863" s="17"/>
      <c r="AF863" s="17"/>
    </row>
    <row r="864" ht="15.75" customHeight="1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  <c r="AE864" s="17"/>
      <c r="AF864" s="17"/>
    </row>
    <row r="865" ht="15.75" customHeight="1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  <c r="AE865" s="17"/>
      <c r="AF865" s="17"/>
    </row>
    <row r="866" ht="15.75" customHeight="1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  <c r="AE866" s="17"/>
      <c r="AF866" s="17"/>
    </row>
    <row r="867" ht="15.75" customHeight="1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  <c r="AE867" s="17"/>
      <c r="AF867" s="17"/>
    </row>
    <row r="868" ht="15.75" customHeight="1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  <c r="AE868" s="17"/>
      <c r="AF868" s="17"/>
    </row>
    <row r="869" ht="15.75" customHeight="1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  <c r="AE869" s="17"/>
      <c r="AF869" s="17"/>
    </row>
    <row r="870" ht="15.75" customHeight="1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  <c r="AE870" s="17"/>
      <c r="AF870" s="17"/>
    </row>
    <row r="871" ht="15.75" customHeight="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  <c r="AE871" s="17"/>
      <c r="AF871" s="17"/>
    </row>
    <row r="872" ht="15.75" customHeight="1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  <c r="AE872" s="17"/>
      <c r="AF872" s="17"/>
    </row>
    <row r="873" ht="15.75" customHeight="1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  <c r="AE873" s="17"/>
      <c r="AF873" s="17"/>
    </row>
    <row r="874" ht="15.75" customHeight="1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  <c r="AE874" s="17"/>
      <c r="AF874" s="17"/>
    </row>
    <row r="875" ht="15.75" customHeight="1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  <c r="AE875" s="17"/>
      <c r="AF875" s="17"/>
    </row>
    <row r="876" ht="15.75" customHeight="1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  <c r="AE876" s="17"/>
      <c r="AF876" s="17"/>
    </row>
    <row r="877" ht="15.75" customHeight="1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  <c r="AE877" s="17"/>
      <c r="AF877" s="17"/>
    </row>
    <row r="878" ht="15.75" customHeight="1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  <c r="AE878" s="17"/>
      <c r="AF878" s="17"/>
    </row>
    <row r="879" ht="15.75" customHeight="1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  <c r="AE879" s="17"/>
      <c r="AF879" s="17"/>
    </row>
    <row r="880" ht="15.75" customHeight="1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  <c r="AE880" s="17"/>
      <c r="AF880" s="17"/>
    </row>
    <row r="881" ht="15.75" customHeight="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  <c r="AE881" s="17"/>
      <c r="AF881" s="17"/>
    </row>
    <row r="882" ht="15.75" customHeight="1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  <c r="AE882" s="17"/>
      <c r="AF882" s="17"/>
    </row>
    <row r="883" ht="15.75" customHeight="1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  <c r="AE883" s="17"/>
      <c r="AF883" s="17"/>
    </row>
    <row r="884" ht="15.75" customHeight="1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  <c r="AE884" s="17"/>
      <c r="AF884" s="17"/>
    </row>
    <row r="885" ht="15.75" customHeight="1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  <c r="AE885" s="17"/>
      <c r="AF885" s="17"/>
    </row>
    <row r="886" ht="15.75" customHeight="1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  <c r="AE886" s="17"/>
      <c r="AF886" s="17"/>
    </row>
    <row r="887" ht="15.75" customHeight="1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  <c r="AE887" s="17"/>
      <c r="AF887" s="17"/>
    </row>
    <row r="888" ht="15.75" customHeight="1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  <c r="AF888" s="17"/>
    </row>
    <row r="889" ht="15.75" customHeight="1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  <c r="AE889" s="17"/>
      <c r="AF889" s="17"/>
    </row>
    <row r="890" ht="15.75" customHeight="1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  <c r="AE890" s="17"/>
      <c r="AF890" s="17"/>
    </row>
    <row r="891" ht="15.75" customHeight="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  <c r="AE891" s="17"/>
      <c r="AF891" s="17"/>
    </row>
    <row r="892" ht="15.75" customHeight="1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  <c r="AE892" s="17"/>
      <c r="AF892" s="17"/>
    </row>
    <row r="893" ht="15.75" customHeight="1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  <c r="AE893" s="17"/>
      <c r="AF893" s="17"/>
    </row>
    <row r="894" ht="15.75" customHeight="1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  <c r="AE894" s="17"/>
      <c r="AF894" s="17"/>
    </row>
    <row r="895" ht="15.75" customHeight="1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  <c r="AE895" s="17"/>
      <c r="AF895" s="17"/>
    </row>
    <row r="896" ht="15.75" customHeight="1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  <c r="AE896" s="17"/>
      <c r="AF896" s="17"/>
    </row>
    <row r="897" ht="15.75" customHeight="1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  <c r="AE897" s="17"/>
      <c r="AF897" s="17"/>
    </row>
    <row r="898" ht="15.75" customHeight="1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  <c r="AE898" s="17"/>
      <c r="AF898" s="17"/>
    </row>
    <row r="899" ht="15.75" customHeight="1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  <c r="AE899" s="17"/>
      <c r="AF899" s="17"/>
    </row>
    <row r="900" ht="15.75" customHeight="1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  <c r="AE900" s="17"/>
      <c r="AF900" s="17"/>
    </row>
    <row r="901" ht="15.75" customHeight="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  <c r="AE901" s="17"/>
      <c r="AF901" s="17"/>
    </row>
    <row r="902" ht="15.75" customHeight="1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  <c r="AE902" s="17"/>
      <c r="AF902" s="17"/>
    </row>
    <row r="903" ht="15.75" customHeight="1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  <c r="AF903" s="17"/>
    </row>
    <row r="904" ht="15.75" customHeight="1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  <c r="AE904" s="17"/>
      <c r="AF904" s="17"/>
    </row>
    <row r="905" ht="15.75" customHeight="1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  <c r="AE905" s="17"/>
      <c r="AF905" s="17"/>
    </row>
    <row r="906" ht="15.75" customHeight="1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  <c r="AE906" s="17"/>
      <c r="AF906" s="17"/>
    </row>
    <row r="907" ht="15.75" customHeight="1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  <c r="AE907" s="17"/>
      <c r="AF907" s="17"/>
    </row>
    <row r="908" ht="15.75" customHeight="1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  <c r="AE908" s="17"/>
      <c r="AF908" s="17"/>
    </row>
    <row r="909" ht="15.75" customHeight="1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  <c r="AE909" s="17"/>
      <c r="AF909" s="17"/>
    </row>
    <row r="910" ht="15.75" customHeight="1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  <c r="AE910" s="17"/>
      <c r="AF910" s="17"/>
    </row>
    <row r="911" ht="15.75" customHeight="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  <c r="AE911" s="17"/>
      <c r="AF911" s="17"/>
    </row>
    <row r="912" ht="15.75" customHeight="1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  <c r="AE912" s="17"/>
      <c r="AF912" s="17"/>
    </row>
    <row r="913" ht="15.75" customHeight="1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  <c r="AE913" s="17"/>
      <c r="AF913" s="17"/>
    </row>
    <row r="914" ht="15.75" customHeight="1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  <c r="AE914" s="17"/>
      <c r="AF914" s="17"/>
    </row>
    <row r="915" ht="15.75" customHeight="1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  <c r="AE915" s="17"/>
      <c r="AF915" s="17"/>
    </row>
    <row r="916" ht="15.75" customHeight="1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  <c r="AE916" s="17"/>
      <c r="AF916" s="17"/>
    </row>
    <row r="917" ht="15.75" customHeight="1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  <c r="AE917" s="17"/>
      <c r="AF917" s="17"/>
    </row>
    <row r="918" ht="15.75" customHeight="1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  <c r="AE918" s="17"/>
      <c r="AF918" s="17"/>
    </row>
    <row r="919" ht="15.75" customHeight="1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  <c r="AE919" s="17"/>
      <c r="AF919" s="17"/>
    </row>
    <row r="920" ht="15.75" customHeight="1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  <c r="AE920" s="17"/>
      <c r="AF920" s="17"/>
    </row>
    <row r="921" ht="15.75" customHeight="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  <c r="AE921" s="17"/>
      <c r="AF921" s="17"/>
    </row>
    <row r="922" ht="15.75" customHeight="1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  <c r="AE922" s="17"/>
      <c r="AF922" s="17"/>
    </row>
    <row r="923" ht="15.75" customHeight="1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  <c r="AE923" s="17"/>
      <c r="AF923" s="17"/>
    </row>
    <row r="924" ht="15.75" customHeight="1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  <c r="AE924" s="17"/>
      <c r="AF924" s="17"/>
    </row>
    <row r="925" ht="15.75" customHeight="1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  <c r="AE925" s="17"/>
      <c r="AF925" s="17"/>
    </row>
    <row r="926" ht="15.75" customHeight="1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  <c r="AE926" s="17"/>
      <c r="AF926" s="17"/>
    </row>
    <row r="927" ht="15.75" customHeight="1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  <c r="AE927" s="17"/>
      <c r="AF927" s="17"/>
    </row>
    <row r="928" ht="15.75" customHeight="1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  <c r="AE928" s="17"/>
      <c r="AF928" s="17"/>
    </row>
    <row r="929" ht="15.75" customHeight="1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  <c r="AE929" s="17"/>
      <c r="AF929" s="17"/>
    </row>
    <row r="930" ht="15.75" customHeight="1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  <c r="AE930" s="17"/>
      <c r="AF930" s="17"/>
    </row>
    <row r="931" ht="15.75" customHeight="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  <c r="AE931" s="17"/>
      <c r="AF931" s="17"/>
    </row>
    <row r="932" ht="15.75" customHeight="1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  <c r="AE932" s="17"/>
      <c r="AF932" s="17"/>
    </row>
    <row r="933" ht="15.75" customHeight="1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  <c r="AF933" s="17"/>
    </row>
    <row r="934" ht="15.75" customHeight="1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  <c r="AE934" s="17"/>
      <c r="AF934" s="17"/>
    </row>
    <row r="935" ht="15.75" customHeight="1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  <c r="AE935" s="17"/>
      <c r="AF935" s="17"/>
    </row>
    <row r="936" ht="15.75" customHeight="1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  <c r="AE936" s="17"/>
      <c r="AF936" s="17"/>
    </row>
    <row r="937" ht="15.75" customHeight="1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  <c r="AE937" s="17"/>
      <c r="AF937" s="17"/>
    </row>
    <row r="938" ht="15.75" customHeight="1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  <c r="AE938" s="17"/>
      <c r="AF938" s="17"/>
    </row>
    <row r="939" ht="15.75" customHeight="1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  <c r="AE939" s="17"/>
      <c r="AF939" s="17"/>
    </row>
    <row r="940" ht="15.75" customHeight="1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  <c r="AE940" s="17"/>
      <c r="AF940" s="17"/>
    </row>
    <row r="941" ht="15.75" customHeight="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  <c r="AE941" s="17"/>
      <c r="AF941" s="17"/>
    </row>
    <row r="942" ht="15.75" customHeight="1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  <c r="AE942" s="17"/>
      <c r="AF942" s="17"/>
    </row>
    <row r="943" ht="15.75" customHeight="1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  <c r="AE943" s="17"/>
      <c r="AF943" s="17"/>
    </row>
    <row r="944" ht="15.75" customHeight="1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  <c r="AE944" s="17"/>
      <c r="AF944" s="17"/>
    </row>
    <row r="945" ht="15.75" customHeight="1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  <c r="AE945" s="17"/>
      <c r="AF945" s="17"/>
    </row>
    <row r="946" ht="15.75" customHeight="1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  <c r="AE946" s="17"/>
      <c r="AF946" s="17"/>
    </row>
    <row r="947" ht="15.75" customHeight="1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  <c r="AE947" s="17"/>
      <c r="AF947" s="17"/>
    </row>
    <row r="948" ht="15.75" customHeight="1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  <c r="AE948" s="17"/>
      <c r="AF948" s="17"/>
    </row>
    <row r="949" ht="15.75" customHeight="1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  <c r="AE949" s="17"/>
      <c r="AF949" s="17"/>
    </row>
    <row r="950" ht="15.75" customHeight="1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  <c r="AE950" s="17"/>
      <c r="AF950" s="17"/>
    </row>
    <row r="951" ht="15.75" customHeight="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  <c r="AE951" s="17"/>
      <c r="AF951" s="17"/>
    </row>
    <row r="952" ht="15.75" customHeight="1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  <c r="AE952" s="17"/>
      <c r="AF952" s="17"/>
    </row>
    <row r="953" ht="15.75" customHeight="1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  <c r="AE953" s="17"/>
      <c r="AF953" s="17"/>
    </row>
    <row r="954" ht="15.75" customHeight="1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  <c r="AE954" s="17"/>
      <c r="AF954" s="17"/>
    </row>
    <row r="955" ht="15.75" customHeight="1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  <c r="AE955" s="17"/>
      <c r="AF955" s="17"/>
    </row>
    <row r="956" ht="15.75" customHeight="1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  <c r="AE956" s="17"/>
      <c r="AF956" s="17"/>
    </row>
    <row r="957" ht="15.75" customHeight="1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  <c r="AE957" s="17"/>
      <c r="AF957" s="17"/>
    </row>
    <row r="958" ht="15.75" customHeight="1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  <c r="AE958" s="17"/>
      <c r="AF958" s="17"/>
    </row>
    <row r="959" ht="15.75" customHeight="1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  <c r="AE959" s="17"/>
      <c r="AF959" s="17"/>
    </row>
    <row r="960" ht="15.75" customHeight="1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  <c r="AE960" s="17"/>
      <c r="AF960" s="17"/>
    </row>
    <row r="961" ht="15.75" customHeight="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  <c r="AE961" s="17"/>
      <c r="AF961" s="17"/>
    </row>
    <row r="962" ht="15.75" customHeight="1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  <c r="AE962" s="17"/>
      <c r="AF962" s="17"/>
    </row>
    <row r="963" ht="15.75" customHeight="1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  <c r="AE963" s="17"/>
      <c r="AF963" s="17"/>
    </row>
    <row r="964" ht="15.75" customHeight="1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  <c r="AE964" s="17"/>
      <c r="AF964" s="17"/>
    </row>
    <row r="965" ht="15.75" customHeight="1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  <c r="AE965" s="17"/>
      <c r="AF965" s="17"/>
    </row>
    <row r="966" ht="15.75" customHeight="1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  <c r="AE966" s="17"/>
      <c r="AF966" s="17"/>
    </row>
    <row r="967" ht="15.75" customHeight="1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  <c r="AE967" s="17"/>
      <c r="AF967" s="17"/>
    </row>
    <row r="968" ht="15.75" customHeight="1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  <c r="AE968" s="17"/>
      <c r="AF968" s="17"/>
    </row>
    <row r="969" ht="15.75" customHeight="1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  <c r="AE969" s="17"/>
      <c r="AF969" s="17"/>
    </row>
    <row r="970" ht="15.75" customHeight="1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  <c r="AE970" s="17"/>
      <c r="AF970" s="17"/>
    </row>
    <row r="971" ht="15.75" customHeight="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  <c r="AE971" s="17"/>
      <c r="AF971" s="17"/>
    </row>
    <row r="972" ht="15.75" customHeight="1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  <c r="AE972" s="17"/>
      <c r="AF972" s="17"/>
    </row>
    <row r="973" ht="15.75" customHeight="1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  <c r="AE973" s="17"/>
      <c r="AF973" s="17"/>
    </row>
    <row r="974" ht="15.75" customHeight="1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  <c r="AE974" s="17"/>
      <c r="AF974" s="17"/>
    </row>
    <row r="975" ht="15.75" customHeight="1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  <c r="AE975" s="17"/>
      <c r="AF975" s="17"/>
    </row>
    <row r="976" ht="15.75" customHeight="1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  <c r="AE976" s="17"/>
      <c r="AF976" s="17"/>
    </row>
    <row r="977" ht="15.75" customHeight="1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  <c r="AE977" s="17"/>
      <c r="AF977" s="17"/>
    </row>
    <row r="978" ht="15.75" customHeight="1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  <c r="AE978" s="17"/>
      <c r="AF978" s="17"/>
    </row>
    <row r="979" ht="15.75" customHeight="1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  <c r="AE979" s="17"/>
      <c r="AF979" s="17"/>
    </row>
    <row r="980" ht="15.75" customHeight="1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  <c r="AE980" s="17"/>
      <c r="AF980" s="17"/>
    </row>
    <row r="981" ht="15.75" customHeight="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  <c r="AE981" s="17"/>
      <c r="AF981" s="17"/>
    </row>
    <row r="982" ht="15.75" customHeight="1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  <c r="AE982" s="17"/>
      <c r="AF982" s="17"/>
    </row>
    <row r="983" ht="15.75" customHeight="1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  <c r="AE983" s="17"/>
      <c r="AF983" s="17"/>
    </row>
    <row r="984" ht="15.75" customHeight="1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  <c r="AE984" s="17"/>
      <c r="AF984" s="17"/>
    </row>
    <row r="985" ht="15.75" customHeight="1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  <c r="AE985" s="17"/>
      <c r="AF985" s="17"/>
    </row>
    <row r="986" ht="15.75" customHeight="1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  <c r="AE986" s="17"/>
      <c r="AF986" s="17"/>
    </row>
    <row r="987" ht="15.75" customHeight="1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  <c r="AE987" s="17"/>
      <c r="AF987" s="17"/>
    </row>
    <row r="988" ht="15.75" customHeight="1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  <c r="AE988" s="17"/>
      <c r="AF988" s="17"/>
    </row>
    <row r="989" ht="15.75" customHeight="1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  <c r="AE989" s="17"/>
      <c r="AF989" s="17"/>
    </row>
    <row r="990" ht="15.75" customHeight="1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  <c r="AE990" s="17"/>
      <c r="AF990" s="17"/>
    </row>
    <row r="991" ht="15.75" customHeight="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  <c r="AD991" s="17"/>
      <c r="AE991" s="17"/>
      <c r="AF991" s="17"/>
    </row>
    <row r="992" ht="15.75" customHeight="1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  <c r="AD992" s="17"/>
      <c r="AE992" s="17"/>
      <c r="AF992" s="17"/>
    </row>
    <row r="993" ht="15.75" customHeight="1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  <c r="AE993" s="17"/>
      <c r="AF993" s="17"/>
    </row>
    <row r="994" ht="15.75" customHeight="1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  <c r="AE994" s="17"/>
      <c r="AF994" s="17"/>
    </row>
    <row r="995" ht="15.75" customHeight="1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  <c r="AE995" s="17"/>
      <c r="AF995" s="17"/>
    </row>
    <row r="996" ht="15.75" customHeight="1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  <c r="AD996" s="17"/>
      <c r="AE996" s="17"/>
      <c r="AF996" s="17"/>
    </row>
    <row r="997" ht="15.75" customHeight="1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  <c r="AD997" s="17"/>
      <c r="AE997" s="17"/>
      <c r="AF997" s="17"/>
    </row>
    <row r="998" ht="15.75" customHeight="1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  <c r="AD998" s="17"/>
      <c r="AE998" s="17"/>
      <c r="AF998" s="17"/>
    </row>
    <row r="999" ht="15.75" customHeight="1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  <c r="AD999" s="17"/>
      <c r="AE999" s="17"/>
      <c r="AF999" s="17"/>
    </row>
    <row r="1000" ht="15.75" customHeight="1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  <c r="AD1000" s="17"/>
      <c r="AE1000" s="17"/>
      <c r="AF1000" s="1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1" width="14.38"/>
    <col customWidth="1" min="12" max="12" width="25.88"/>
    <col customWidth="1" min="13" max="13" width="34.13"/>
    <col customWidth="1" min="14" max="14" width="14.38"/>
    <col customWidth="1" min="15" max="15" width="46.25"/>
    <col customWidth="1" min="16" max="26" width="14.38"/>
  </cols>
  <sheetData>
    <row r="1" ht="15.75" customHeight="1">
      <c r="A1" s="5"/>
      <c r="B1" s="5"/>
      <c r="C1" s="5"/>
      <c r="D1" s="5"/>
      <c r="E1" s="5"/>
      <c r="F1" s="5" t="s">
        <v>30</v>
      </c>
      <c r="G1" s="5"/>
      <c r="H1" s="5"/>
      <c r="I1" s="5"/>
      <c r="J1" s="5"/>
      <c r="K1" s="5"/>
      <c r="L1" s="5"/>
      <c r="M1" s="5"/>
      <c r="N1" s="5"/>
    </row>
    <row r="2" ht="15.75" customHeight="1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3" t="s">
        <v>10</v>
      </c>
      <c r="I2" s="2" t="s">
        <v>11</v>
      </c>
      <c r="J2" s="2" t="s">
        <v>12</v>
      </c>
      <c r="K2" s="2" t="s">
        <v>13</v>
      </c>
      <c r="L2" s="29" t="s">
        <v>31</v>
      </c>
      <c r="M2" s="29" t="s">
        <v>32</v>
      </c>
      <c r="N2" s="2" t="s">
        <v>3</v>
      </c>
    </row>
    <row r="3" ht="15.75" customHeight="1">
      <c r="A3" s="4">
        <f>DATE(2023,4,1)</f>
        <v>45017</v>
      </c>
      <c r="B3" s="39">
        <v>900.0</v>
      </c>
      <c r="C3" s="39">
        <v>200.0</v>
      </c>
      <c r="D3" s="39">
        <v>80.0</v>
      </c>
      <c r="E3" s="39">
        <v>50.0</v>
      </c>
      <c r="F3" s="39">
        <v>140.0</v>
      </c>
      <c r="G3" s="39">
        <v>280.0</v>
      </c>
      <c r="H3" s="39">
        <v>130.0</v>
      </c>
      <c r="I3" s="39">
        <v>50.0</v>
      </c>
      <c r="J3" s="39">
        <v>0.0</v>
      </c>
      <c r="K3" s="39">
        <v>6.0</v>
      </c>
      <c r="L3" s="5">
        <f t="shared" ref="L3:L33" si="1">SUM(B3:K3)</f>
        <v>1836</v>
      </c>
      <c r="M3" s="29">
        <f t="shared" ref="M3:M33" si="2">L3/10</f>
        <v>183.6</v>
      </c>
      <c r="N3" s="4">
        <f>DATE(2023,4,1)</f>
        <v>45017</v>
      </c>
    </row>
    <row r="4" ht="15.75" customHeight="1">
      <c r="A4" s="4">
        <f>DATE(2023,4,2)</f>
        <v>45018</v>
      </c>
      <c r="B4" s="26">
        <f>B3-SALES!B3+PURCHASE!B3</f>
        <v>760</v>
      </c>
      <c r="C4" s="26">
        <f>C3-SALES!C3+PURCHASE!C3</f>
        <v>90</v>
      </c>
      <c r="D4" s="26">
        <f>D3-SALES!D3+PURCHASE!D3</f>
        <v>56</v>
      </c>
      <c r="E4" s="26">
        <f>E3-SALES!E3+PURCHASE!E3</f>
        <v>34</v>
      </c>
      <c r="F4" s="26">
        <f>F3-SALES!F3+PURCHASE!F3</f>
        <v>100</v>
      </c>
      <c r="G4" s="26">
        <f>G3-SALES!G3+PURCHASE!G3</f>
        <v>210</v>
      </c>
      <c r="H4" s="26">
        <f>H3-SALES!H3+PURCHASE!H3</f>
        <v>94</v>
      </c>
      <c r="I4" s="26">
        <f>I3-SALES!I3+PURCHASE!I3</f>
        <v>30</v>
      </c>
      <c r="J4" s="39">
        <v>0.0</v>
      </c>
      <c r="K4" s="26">
        <f>K3-SALES!K3+PURCHASE!K3</f>
        <v>40</v>
      </c>
      <c r="L4" s="5">
        <f t="shared" si="1"/>
        <v>1414</v>
      </c>
      <c r="M4" s="29">
        <f t="shared" si="2"/>
        <v>141.4</v>
      </c>
      <c r="N4" s="4">
        <f>DATE(2023,4,2)</f>
        <v>45018</v>
      </c>
    </row>
    <row r="5" ht="15.75" customHeight="1">
      <c r="A5" s="4">
        <f>DATE(2023,4,3)</f>
        <v>45019</v>
      </c>
      <c r="B5" s="26">
        <f>B4-SALES!B4+PURCHASE!B4</f>
        <v>670</v>
      </c>
      <c r="C5" s="26">
        <f>C4-SALES!C4+PURCHASE!C4</f>
        <v>210</v>
      </c>
      <c r="D5" s="26">
        <f>D4-SALES!D4+PURCHASE!D4</f>
        <v>28</v>
      </c>
      <c r="E5" s="26">
        <f>E4-SALES!E4+PURCHASE!E4</f>
        <v>70</v>
      </c>
      <c r="F5" s="26">
        <f>F4-SALES!F4+PURCHASE!F4</f>
        <v>56</v>
      </c>
      <c r="G5" s="26">
        <f>G4-SALES!G4+PURCHASE!G4</f>
        <v>162</v>
      </c>
      <c r="H5" s="26">
        <f>H4-SALES!H4+PURCHASE!H4</f>
        <v>64</v>
      </c>
      <c r="I5" s="26">
        <f>I4-SALES!I4+PURCHASE!I4</f>
        <v>20</v>
      </c>
      <c r="J5" s="39">
        <v>0.0</v>
      </c>
      <c r="K5" s="26">
        <f>K4-SALES!K4+PURCHASE!K4</f>
        <v>34</v>
      </c>
      <c r="L5" s="5">
        <f t="shared" si="1"/>
        <v>1314</v>
      </c>
      <c r="M5" s="29">
        <f t="shared" si="2"/>
        <v>131.4</v>
      </c>
      <c r="N5" s="4">
        <f>DATE(2023,4,3)</f>
        <v>45019</v>
      </c>
    </row>
    <row r="6" ht="15.75" customHeight="1">
      <c r="A6" s="4">
        <f>DATE(2023,4,4)</f>
        <v>45020</v>
      </c>
      <c r="B6" s="26">
        <f>B5-SALES!B5+PURCHASE!B5</f>
        <v>600</v>
      </c>
      <c r="C6" s="26">
        <f>C5-SALES!C5+PURCHASE!C5</f>
        <v>160</v>
      </c>
      <c r="D6" s="26">
        <f>D5-SALES!D5+PURCHASE!D5</f>
        <v>58</v>
      </c>
      <c r="E6" s="26">
        <f>E5-SALES!E5+PURCHASE!E5</f>
        <v>50</v>
      </c>
      <c r="F6" s="26">
        <f>F5-SALES!F5+PURCHASE!F5</f>
        <v>56</v>
      </c>
      <c r="G6" s="26">
        <f>G5-SALES!G5+PURCHASE!G5</f>
        <v>122</v>
      </c>
      <c r="H6" s="26">
        <f>H5-SALES!H5+PURCHASE!H5</f>
        <v>84</v>
      </c>
      <c r="I6" s="26">
        <f>I5-SALES!I5+PURCHASE!I5</f>
        <v>32</v>
      </c>
      <c r="J6" s="39">
        <v>0.0</v>
      </c>
      <c r="K6" s="26">
        <f>K5-SALES!K5+PURCHASE!K5</f>
        <v>30</v>
      </c>
      <c r="L6" s="5">
        <f t="shared" si="1"/>
        <v>1192</v>
      </c>
      <c r="M6" s="29">
        <f t="shared" si="2"/>
        <v>119.2</v>
      </c>
      <c r="N6" s="4">
        <f>DATE(2023,4,4)</f>
        <v>45020</v>
      </c>
    </row>
    <row r="7" ht="15.75" customHeight="1">
      <c r="A7" s="4">
        <f>DATE(2023,4,5)</f>
        <v>45021</v>
      </c>
      <c r="B7" s="26">
        <f>B6-SALES!B6+PURCHASE!B6</f>
        <v>540</v>
      </c>
      <c r="C7" s="26">
        <f>C6-SALES!C6+PURCHASE!C6</f>
        <v>120</v>
      </c>
      <c r="D7" s="26">
        <f>D6-SALES!D6+PURCHASE!D6</f>
        <v>36</v>
      </c>
      <c r="E7" s="26">
        <f>E6-SALES!E6+PURCHASE!E6</f>
        <v>34</v>
      </c>
      <c r="F7" s="26">
        <f>F6-SALES!F6+PURCHASE!F6</f>
        <v>62</v>
      </c>
      <c r="G7" s="26">
        <f>G6-SALES!G6+PURCHASE!G6</f>
        <v>80</v>
      </c>
      <c r="H7" s="26">
        <f>H6-SALES!H6+PURCHASE!H6</f>
        <v>104</v>
      </c>
      <c r="I7" s="26">
        <f>I6-SALES!I6+PURCHASE!I6</f>
        <v>22</v>
      </c>
      <c r="J7" s="39">
        <v>0.0</v>
      </c>
      <c r="K7" s="26">
        <f>K6-SALES!K6+PURCHASE!K6</f>
        <v>24</v>
      </c>
      <c r="L7" s="5">
        <f t="shared" si="1"/>
        <v>1022</v>
      </c>
      <c r="M7" s="29">
        <f t="shared" si="2"/>
        <v>102.2</v>
      </c>
      <c r="N7" s="4">
        <f>DATE(2023,4,5)</f>
        <v>45021</v>
      </c>
    </row>
    <row r="8" ht="15.75" customHeight="1">
      <c r="A8" s="4">
        <f>DATE(2023,4,6)</f>
        <v>45022</v>
      </c>
      <c r="B8" s="26">
        <f>B7-SALES!B7+PURCHASE!B7</f>
        <v>474</v>
      </c>
      <c r="C8" s="26">
        <f>C7-SALES!C7+PURCHASE!C7</f>
        <v>84</v>
      </c>
      <c r="D8" s="26">
        <f>D7-SALES!D7+PURCHASE!D7</f>
        <v>18</v>
      </c>
      <c r="E8" s="26">
        <f>E7-SALES!E7+PURCHASE!E7</f>
        <v>20</v>
      </c>
      <c r="F8" s="26">
        <f>F7-SALES!F7+PURCHASE!F7</f>
        <v>22</v>
      </c>
      <c r="G8" s="26">
        <f>G7-SALES!G7+PURCHASE!G7</f>
        <v>32</v>
      </c>
      <c r="H8" s="26">
        <f>H7-SALES!H7+PURCHASE!H7</f>
        <v>66</v>
      </c>
      <c r="I8" s="26">
        <f>I7-SALES!I7+PURCHASE!I7</f>
        <v>11</v>
      </c>
      <c r="J8" s="39">
        <v>0.0</v>
      </c>
      <c r="K8" s="26">
        <f>K7-SALES!K7+PURCHASE!K7</f>
        <v>14</v>
      </c>
      <c r="L8" s="5">
        <f t="shared" si="1"/>
        <v>741</v>
      </c>
      <c r="M8" s="29">
        <f t="shared" si="2"/>
        <v>74.1</v>
      </c>
      <c r="N8" s="4">
        <f>DATE(2023,4,6)</f>
        <v>45022</v>
      </c>
    </row>
    <row r="9" ht="15.75" customHeight="1">
      <c r="A9" s="4">
        <f>DATE(2023,4,7)</f>
        <v>45023</v>
      </c>
      <c r="B9" s="26">
        <f>B8-SALES!B8+PURCHASE!B8</f>
        <v>454</v>
      </c>
      <c r="C9" s="26">
        <f>C8-SALES!C8+PURCHASE!C8</f>
        <v>260</v>
      </c>
      <c r="D9" s="26">
        <f>D8-SALES!D8+PURCHASE!D8</f>
        <v>60</v>
      </c>
      <c r="E9" s="26">
        <f>E8-SALES!E8+PURCHASE!E8</f>
        <v>12</v>
      </c>
      <c r="F9" s="26">
        <f>F8-SALES!F8+PURCHASE!F8</f>
        <v>68</v>
      </c>
      <c r="G9" s="26">
        <f>G8-SALES!G8+PURCHASE!G8</f>
        <v>72</v>
      </c>
      <c r="H9" s="26">
        <f>H8-SALES!H8+PURCHASE!H8</f>
        <v>58</v>
      </c>
      <c r="I9" s="26">
        <f>I8-SALES!I8+PURCHASE!I8</f>
        <v>7</v>
      </c>
      <c r="J9" s="39">
        <v>0.0</v>
      </c>
      <c r="K9" s="26">
        <f>K8-SALES!K8+PURCHASE!K8</f>
        <v>14</v>
      </c>
      <c r="L9" s="5">
        <f t="shared" si="1"/>
        <v>1005</v>
      </c>
      <c r="M9" s="29">
        <f t="shared" si="2"/>
        <v>100.5</v>
      </c>
      <c r="N9" s="4">
        <f>DATE(2023,4,7)</f>
        <v>45023</v>
      </c>
    </row>
    <row r="10" ht="15.75" customHeight="1">
      <c r="A10" s="4">
        <f>DATE(2023,4,8)</f>
        <v>45024</v>
      </c>
      <c r="B10" s="26">
        <f>B9-SALES!B9+PURCHASE!B9</f>
        <v>414</v>
      </c>
      <c r="C10" s="26">
        <f>C9-SALES!C9+PURCHASE!C9</f>
        <v>240</v>
      </c>
      <c r="D10" s="26">
        <f>D9-SALES!D9+PURCHASE!D9</f>
        <v>52</v>
      </c>
      <c r="E10" s="26">
        <f>E9-SALES!E9+PURCHASE!E9</f>
        <v>56</v>
      </c>
      <c r="F10" s="26">
        <f>F9-SALES!F9+PURCHASE!F9</f>
        <v>60</v>
      </c>
      <c r="G10" s="26">
        <f>G9-SALES!G9+PURCHASE!G9</f>
        <v>64</v>
      </c>
      <c r="H10" s="26">
        <f>H9-SALES!H9+PURCHASE!H9</f>
        <v>52</v>
      </c>
      <c r="I10" s="26">
        <f>I9-SALES!I9+PURCHASE!I9</f>
        <v>20</v>
      </c>
      <c r="J10" s="39">
        <v>0.0</v>
      </c>
      <c r="K10" s="26">
        <f>K9-SALES!K9+PURCHASE!K9</f>
        <v>12</v>
      </c>
      <c r="L10" s="5">
        <f t="shared" si="1"/>
        <v>970</v>
      </c>
      <c r="M10" s="29">
        <f t="shared" si="2"/>
        <v>97</v>
      </c>
      <c r="N10" s="4">
        <f>DATE(2023,4,8)</f>
        <v>45024</v>
      </c>
    </row>
    <row r="11" ht="15.75" customHeight="1">
      <c r="A11" s="4">
        <f>DATE(2023,4,9)</f>
        <v>45025</v>
      </c>
      <c r="B11" s="26">
        <f>B10-SALES!B10+PURCHASE!B10</f>
        <v>374</v>
      </c>
      <c r="C11" s="26">
        <f>C10-SALES!C10+PURCHASE!C10</f>
        <v>216</v>
      </c>
      <c r="D11" s="26">
        <f>D10-SALES!D10+PURCHASE!D10</f>
        <v>44</v>
      </c>
      <c r="E11" s="26">
        <f>E10-SALES!E10+PURCHASE!E10</f>
        <v>50</v>
      </c>
      <c r="F11" s="26">
        <f>F10-SALES!F10+PURCHASE!F10</f>
        <v>54</v>
      </c>
      <c r="G11" s="26">
        <f>G10-SALES!G10+PURCHASE!G10</f>
        <v>54</v>
      </c>
      <c r="H11" s="26">
        <f>H10-SALES!H10+PURCHASE!H10</f>
        <v>44</v>
      </c>
      <c r="I11" s="26">
        <f>I10-SALES!I10+PURCHASE!I10</f>
        <v>16</v>
      </c>
      <c r="J11" s="39">
        <v>0.0</v>
      </c>
      <c r="K11" s="26">
        <f>K10-SALES!K10+PURCHASE!K10</f>
        <v>8</v>
      </c>
      <c r="L11" s="5">
        <f t="shared" si="1"/>
        <v>860</v>
      </c>
      <c r="M11" s="29">
        <f t="shared" si="2"/>
        <v>86</v>
      </c>
      <c r="N11" s="4">
        <f>DATE(2023,4,9)</f>
        <v>45025</v>
      </c>
    </row>
    <row r="12" ht="15.75" customHeight="1">
      <c r="A12" s="4">
        <f>DATE(2023,4,10)</f>
        <v>45026</v>
      </c>
      <c r="B12" s="26">
        <f>B11-SALES!B11+PURCHASE!B11</f>
        <v>314</v>
      </c>
      <c r="C12" s="26">
        <f>C11-SALES!C11+PURCHASE!C11</f>
        <v>186</v>
      </c>
      <c r="D12" s="26">
        <f>D11-SALES!D11+PURCHASE!D11</f>
        <v>38</v>
      </c>
      <c r="E12" s="26">
        <f>E11-SALES!E11+PURCHASE!E11</f>
        <v>46</v>
      </c>
      <c r="F12" s="26">
        <f>F11-SALES!F11+PURCHASE!F11</f>
        <v>50</v>
      </c>
      <c r="G12" s="26">
        <f>G11-SALES!G11+PURCHASE!G11</f>
        <v>48</v>
      </c>
      <c r="H12" s="26">
        <f>H11-SALES!H11+PURCHASE!H11</f>
        <v>58</v>
      </c>
      <c r="I12" s="26">
        <f>I11-SALES!I11+PURCHASE!I11</f>
        <v>12</v>
      </c>
      <c r="J12" s="39">
        <v>0.0</v>
      </c>
      <c r="K12" s="26">
        <f>K11-SALES!K11+PURCHASE!K11</f>
        <v>4</v>
      </c>
      <c r="L12" s="5">
        <f t="shared" si="1"/>
        <v>756</v>
      </c>
      <c r="M12" s="29">
        <f t="shared" si="2"/>
        <v>75.6</v>
      </c>
      <c r="N12" s="4">
        <f>DATE(2023,4,10)</f>
        <v>45026</v>
      </c>
    </row>
    <row r="13" ht="15.75" customHeight="1">
      <c r="A13" s="4">
        <f>DATE(2023,4,11)</f>
        <v>45027</v>
      </c>
      <c r="B13" s="26">
        <f>B12-SALES!B12+PURCHASE!B12</f>
        <v>258</v>
      </c>
      <c r="C13" s="26">
        <f>C12-SALES!C12+PURCHASE!C12</f>
        <v>154</v>
      </c>
      <c r="D13" s="26">
        <f>D12-SALES!D12+PURCHASE!D12</f>
        <v>30</v>
      </c>
      <c r="E13" s="26">
        <f>E12-SALES!E12+PURCHASE!E12</f>
        <v>40</v>
      </c>
      <c r="F13" s="26">
        <f>F12-SALES!F12+PURCHASE!F12</f>
        <v>46</v>
      </c>
      <c r="G13" s="26">
        <f>G12-SALES!G12+PURCHASE!G12</f>
        <v>40</v>
      </c>
      <c r="H13" s="26">
        <f>H12-SALES!H12+PURCHASE!H12</f>
        <v>50</v>
      </c>
      <c r="I13" s="26">
        <f>I12-SALES!I12+PURCHASE!I12</f>
        <v>12</v>
      </c>
      <c r="J13" s="39">
        <v>0.0</v>
      </c>
      <c r="K13" s="26">
        <f>K12-SALES!K12+PURCHASE!K12</f>
        <v>4</v>
      </c>
      <c r="L13" s="5">
        <f t="shared" si="1"/>
        <v>634</v>
      </c>
      <c r="M13" s="29">
        <f t="shared" si="2"/>
        <v>63.4</v>
      </c>
      <c r="N13" s="4">
        <f>DATE(2023,4,11)</f>
        <v>45027</v>
      </c>
    </row>
    <row r="14" ht="15.75" customHeight="1">
      <c r="A14" s="4">
        <f>DATE(2023,4,12)</f>
        <v>45028</v>
      </c>
      <c r="B14" s="26">
        <f>B13-SALES!B13+PURCHASE!B13</f>
        <v>210</v>
      </c>
      <c r="C14" s="26">
        <f>C13-SALES!C13+PURCHASE!C13</f>
        <v>130</v>
      </c>
      <c r="D14" s="26">
        <f>D13-SALES!D13+PURCHASE!D13</f>
        <v>24</v>
      </c>
      <c r="E14" s="26">
        <f>E13-SALES!E13+PURCHASE!E13</f>
        <v>32</v>
      </c>
      <c r="F14" s="26">
        <f>F13-SALES!F13+PURCHASE!F13</f>
        <v>40</v>
      </c>
      <c r="G14" s="26">
        <f>G13-SALES!G13+PURCHASE!G13</f>
        <v>32</v>
      </c>
      <c r="H14" s="26">
        <f>H13-SALES!H13+PURCHASE!H13</f>
        <v>44</v>
      </c>
      <c r="I14" s="26">
        <f>I13-SALES!I13+PURCHASE!I13</f>
        <v>10</v>
      </c>
      <c r="J14" s="39">
        <v>0.0</v>
      </c>
      <c r="K14" s="26">
        <f>K13-SALES!K13+PURCHASE!K13</f>
        <v>4</v>
      </c>
      <c r="L14" s="5">
        <f t="shared" si="1"/>
        <v>526</v>
      </c>
      <c r="M14" s="29">
        <f t="shared" si="2"/>
        <v>52.6</v>
      </c>
      <c r="N14" s="4">
        <f>DATE(2023,4,12)</f>
        <v>45028</v>
      </c>
    </row>
    <row r="15" ht="15.75" customHeight="1">
      <c r="A15" s="4">
        <f>DATE(2023,4,13)</f>
        <v>45029</v>
      </c>
      <c r="B15" s="26">
        <f>B14-SALES!B14+PURCHASE!B14</f>
        <v>162</v>
      </c>
      <c r="C15" s="26">
        <f>C14-SALES!C14+PURCHASE!C14</f>
        <v>102</v>
      </c>
      <c r="D15" s="26">
        <f>D14-SALES!D14+PURCHASE!D14</f>
        <v>16</v>
      </c>
      <c r="E15" s="26">
        <f>E14-SALES!E14+PURCHASE!E14</f>
        <v>24</v>
      </c>
      <c r="F15" s="26">
        <f>F14-SALES!F14+PURCHASE!F14</f>
        <v>32</v>
      </c>
      <c r="G15" s="26">
        <f>G14-SALES!G14+PURCHASE!G14</f>
        <v>26</v>
      </c>
      <c r="H15" s="26">
        <f>H14-SALES!H14+PURCHASE!H14</f>
        <v>38</v>
      </c>
      <c r="I15" s="26">
        <f>I14-SALES!I14+PURCHASE!I14</f>
        <v>8</v>
      </c>
      <c r="J15" s="39">
        <v>0.0</v>
      </c>
      <c r="K15" s="26">
        <f>K14-SALES!K14+PURCHASE!K14</f>
        <v>4</v>
      </c>
      <c r="L15" s="5">
        <f t="shared" si="1"/>
        <v>412</v>
      </c>
      <c r="M15" s="29">
        <f t="shared" si="2"/>
        <v>41.2</v>
      </c>
      <c r="N15" s="4">
        <f>DATE(2023,4,13)</f>
        <v>45029</v>
      </c>
    </row>
    <row r="16" ht="15.75" customHeight="1">
      <c r="A16" s="4">
        <f>DATE(2023,4,14)</f>
        <v>45030</v>
      </c>
      <c r="B16" s="26">
        <f>B15-SALES!B15+PURCHASE!B15</f>
        <v>112</v>
      </c>
      <c r="C16" s="26">
        <f>C15-SALES!C15+PURCHASE!C15</f>
        <v>74</v>
      </c>
      <c r="D16" s="26">
        <f>D15-SALES!D15+PURCHASE!D15</f>
        <v>10</v>
      </c>
      <c r="E16" s="26">
        <f>E15-SALES!E15+PURCHASE!E15</f>
        <v>16</v>
      </c>
      <c r="F16" s="26">
        <f>F15-SALES!F15+PURCHASE!F15</f>
        <v>26</v>
      </c>
      <c r="G16" s="26">
        <f>G15-SALES!G15+PURCHASE!G15</f>
        <v>16</v>
      </c>
      <c r="H16" s="26">
        <f>H15-SALES!H15+PURCHASE!H15</f>
        <v>34</v>
      </c>
      <c r="I16" s="26">
        <f>I15-SALES!I15+PURCHASE!I15</f>
        <v>8</v>
      </c>
      <c r="J16" s="39">
        <v>0.0</v>
      </c>
      <c r="K16" s="26">
        <f>K15-SALES!K15+PURCHASE!K15</f>
        <v>4</v>
      </c>
      <c r="L16" s="5">
        <f t="shared" si="1"/>
        <v>300</v>
      </c>
      <c r="M16" s="29">
        <f t="shared" si="2"/>
        <v>30</v>
      </c>
      <c r="N16" s="4">
        <f>DATE(2023,4,14)</f>
        <v>45030</v>
      </c>
    </row>
    <row r="17" ht="15.75" customHeight="1">
      <c r="A17" s="4">
        <f>DATE(2023,4,15)</f>
        <v>45031</v>
      </c>
      <c r="B17" s="26">
        <f>B16-SALES!B16+PURCHASE!B16</f>
        <v>406</v>
      </c>
      <c r="C17" s="26">
        <f>C16-SALES!C16+PURCHASE!C16</f>
        <v>140</v>
      </c>
      <c r="D17" s="26">
        <f>D16-SALES!D16+PURCHASE!D16</f>
        <v>48</v>
      </c>
      <c r="E17" s="26">
        <f>E16-SALES!E16+PURCHASE!E16</f>
        <v>58</v>
      </c>
      <c r="F17" s="26">
        <f>F16-SALES!F16+PURCHASE!F16</f>
        <v>66</v>
      </c>
      <c r="G17" s="26">
        <f>G16-SALES!G16+PURCHASE!G16</f>
        <v>54</v>
      </c>
      <c r="H17" s="26">
        <f>H16-SALES!H16+PURCHASE!H16</f>
        <v>66</v>
      </c>
      <c r="I17" s="26">
        <f>I16-SALES!I16+PURCHASE!I16</f>
        <v>26</v>
      </c>
      <c r="J17" s="39">
        <v>0.0</v>
      </c>
      <c r="K17" s="26">
        <f>K16-SALES!K16+PURCHASE!K16</f>
        <v>4</v>
      </c>
      <c r="L17" s="5">
        <f t="shared" si="1"/>
        <v>868</v>
      </c>
      <c r="M17" s="29">
        <f t="shared" si="2"/>
        <v>86.8</v>
      </c>
      <c r="N17" s="4">
        <f>DATE(2023,4,15)</f>
        <v>45031</v>
      </c>
    </row>
    <row r="18" ht="15.75" customHeight="1">
      <c r="A18" s="4">
        <f>DATE(2023,4,16)</f>
        <v>45032</v>
      </c>
      <c r="B18" s="26">
        <f>B17-SALES!B17+PURCHASE!B17</f>
        <v>364</v>
      </c>
      <c r="C18" s="26">
        <f>C17-SALES!C17+PURCHASE!C17</f>
        <v>116</v>
      </c>
      <c r="D18" s="26">
        <f>D17-SALES!D17+PURCHASE!D17</f>
        <v>42</v>
      </c>
      <c r="E18" s="26">
        <f>E17-SALES!E17+PURCHASE!E17</f>
        <v>48</v>
      </c>
      <c r="F18" s="26">
        <f>F17-SALES!F17+PURCHASE!F17</f>
        <v>58</v>
      </c>
      <c r="G18" s="26">
        <f>G17-SALES!G17+PURCHASE!G17</f>
        <v>50</v>
      </c>
      <c r="H18" s="26">
        <f>H17-SALES!H17+PURCHASE!H17</f>
        <v>62</v>
      </c>
      <c r="I18" s="26">
        <f>I17-SALES!I17+PURCHASE!I17</f>
        <v>26</v>
      </c>
      <c r="J18" s="39">
        <v>0.0</v>
      </c>
      <c r="K18" s="26">
        <f>K17-SALES!K17+PURCHASE!K17</f>
        <v>4</v>
      </c>
      <c r="L18" s="5">
        <f t="shared" si="1"/>
        <v>770</v>
      </c>
      <c r="M18" s="29">
        <f t="shared" si="2"/>
        <v>77</v>
      </c>
      <c r="N18" s="4">
        <f>DATE(2023,4,16)</f>
        <v>45032</v>
      </c>
    </row>
    <row r="19" ht="15.75" customHeight="1">
      <c r="A19" s="4">
        <f>DATE(2023,4,17)</f>
        <v>45033</v>
      </c>
      <c r="B19" s="26">
        <f>B18-SALES!B18+PURCHASE!B18</f>
        <v>324</v>
      </c>
      <c r="C19" s="26">
        <f>C18-SALES!C18+PURCHASE!C18</f>
        <v>90</v>
      </c>
      <c r="D19" s="26">
        <f>D18-SALES!D18+PURCHASE!D18</f>
        <v>32</v>
      </c>
      <c r="E19" s="26">
        <f>E18-SALES!E18+PURCHASE!E18</f>
        <v>38</v>
      </c>
      <c r="F19" s="26">
        <f>F18-SALES!F18+PURCHASE!F18</f>
        <v>48</v>
      </c>
      <c r="G19" s="26">
        <f>G18-SALES!G18+PURCHASE!G18</f>
        <v>46</v>
      </c>
      <c r="H19" s="26">
        <f>H18-SALES!H18+PURCHASE!H18</f>
        <v>56</v>
      </c>
      <c r="I19" s="26">
        <f>I18-SALES!I18+PURCHASE!I18</f>
        <v>26</v>
      </c>
      <c r="J19" s="39">
        <v>0.0</v>
      </c>
      <c r="K19" s="26">
        <f>K18-SALES!K18+PURCHASE!K18</f>
        <v>3</v>
      </c>
      <c r="L19" s="5">
        <f t="shared" si="1"/>
        <v>663</v>
      </c>
      <c r="M19" s="29">
        <f t="shared" si="2"/>
        <v>66.3</v>
      </c>
      <c r="N19" s="4">
        <f>DATE(2023,4,17)</f>
        <v>45033</v>
      </c>
    </row>
    <row r="20" ht="15.75" customHeight="1">
      <c r="A20" s="4">
        <f>DATE(2023,4,18)</f>
        <v>45034</v>
      </c>
      <c r="B20" s="26">
        <f>B19-SALES!B19+PURCHASE!B19</f>
        <v>272</v>
      </c>
      <c r="C20" s="26">
        <f>C19-SALES!C19+PURCHASE!C19</f>
        <v>70</v>
      </c>
      <c r="D20" s="26">
        <f>D19-SALES!D19+PURCHASE!D19</f>
        <v>28</v>
      </c>
      <c r="E20" s="26">
        <f>E19-SALES!E19+PURCHASE!E19</f>
        <v>36</v>
      </c>
      <c r="F20" s="26">
        <f>F19-SALES!F19+PURCHASE!F19</f>
        <v>42</v>
      </c>
      <c r="G20" s="26">
        <f>G19-SALES!G19+PURCHASE!G19</f>
        <v>42</v>
      </c>
      <c r="H20" s="26">
        <f>H19-SALES!H19+PURCHASE!H19</f>
        <v>54</v>
      </c>
      <c r="I20" s="26">
        <f>I19-SALES!I19+PURCHASE!I19</f>
        <v>26</v>
      </c>
      <c r="J20" s="39">
        <v>0.0</v>
      </c>
      <c r="K20" s="26">
        <f>K19-SALES!K19+PURCHASE!K19</f>
        <v>3</v>
      </c>
      <c r="L20" s="5">
        <f t="shared" si="1"/>
        <v>573</v>
      </c>
      <c r="M20" s="29">
        <f t="shared" si="2"/>
        <v>57.3</v>
      </c>
      <c r="N20" s="4">
        <f>DATE(2023,4,18)</f>
        <v>45034</v>
      </c>
    </row>
    <row r="21" ht="15.75" customHeight="1">
      <c r="A21" s="4">
        <f>DATE(2023,4,19)</f>
        <v>45035</v>
      </c>
      <c r="B21" s="26">
        <f>B20-SALES!B20+PURCHASE!B20</f>
        <v>232</v>
      </c>
      <c r="C21" s="26">
        <f>C20-SALES!C20+PURCHASE!C20</f>
        <v>40</v>
      </c>
      <c r="D21" s="26">
        <f>D20-SALES!D20+PURCHASE!D20</f>
        <v>24</v>
      </c>
      <c r="E21" s="26">
        <f>E20-SALES!E20+PURCHASE!E20</f>
        <v>34</v>
      </c>
      <c r="F21" s="26">
        <f>F20-SALES!F20+PURCHASE!F20</f>
        <v>40</v>
      </c>
      <c r="G21" s="26">
        <f>G20-SALES!G20+PURCHASE!G20</f>
        <v>40</v>
      </c>
      <c r="H21" s="26">
        <f>H20-SALES!H20+PURCHASE!H20</f>
        <v>54</v>
      </c>
      <c r="I21" s="26">
        <f>I20-SALES!I20+PURCHASE!I20</f>
        <v>24</v>
      </c>
      <c r="J21" s="39">
        <v>0.0</v>
      </c>
      <c r="K21" s="26">
        <f>K20-SALES!K20+PURCHASE!K20</f>
        <v>3</v>
      </c>
      <c r="L21" s="5">
        <f t="shared" si="1"/>
        <v>491</v>
      </c>
      <c r="M21" s="29">
        <f t="shared" si="2"/>
        <v>49.1</v>
      </c>
      <c r="N21" s="4">
        <f>DATE(2023,4,19)</f>
        <v>45035</v>
      </c>
    </row>
    <row r="22" ht="15.75" customHeight="1">
      <c r="A22" s="4">
        <f>DATE(2023,4,20)</f>
        <v>45036</v>
      </c>
      <c r="B22" s="26">
        <f>B21-SALES!B21+PURCHASE!B21</f>
        <v>196</v>
      </c>
      <c r="C22" s="26">
        <f>C21-SALES!C21+PURCHASE!C21</f>
        <v>520</v>
      </c>
      <c r="D22" s="26">
        <f>D21-SALES!D21+PURCHASE!D21</f>
        <v>18</v>
      </c>
      <c r="E22" s="26">
        <f>E21-SALES!E21+PURCHASE!E21</f>
        <v>32</v>
      </c>
      <c r="F22" s="26">
        <f>F21-SALES!F21+PURCHASE!F21</f>
        <v>34</v>
      </c>
      <c r="G22" s="26">
        <f>G21-SALES!G21+PURCHASE!G21</f>
        <v>156</v>
      </c>
      <c r="H22" s="26">
        <f>H21-SALES!H21+PURCHASE!H21</f>
        <v>50</v>
      </c>
      <c r="I22" s="26">
        <f>I21-SALES!I21+PURCHASE!I21</f>
        <v>22</v>
      </c>
      <c r="J22" s="39">
        <v>0.0</v>
      </c>
      <c r="K22" s="26">
        <f>K21-SALES!K21+PURCHASE!K21</f>
        <v>19</v>
      </c>
      <c r="L22" s="5">
        <f t="shared" si="1"/>
        <v>1047</v>
      </c>
      <c r="M22" s="29">
        <f t="shared" si="2"/>
        <v>104.7</v>
      </c>
      <c r="N22" s="4">
        <f>DATE(2023,4,20)</f>
        <v>45036</v>
      </c>
    </row>
    <row r="23" ht="15.75" customHeight="1">
      <c r="A23" s="4">
        <f>DATE(2023,4,21)</f>
        <v>45037</v>
      </c>
      <c r="B23" s="26">
        <f>B22-SALES!B22+PURCHASE!B22</f>
        <v>1058</v>
      </c>
      <c r="C23" s="26">
        <f>C22-SALES!C22+PURCHASE!C22</f>
        <v>502</v>
      </c>
      <c r="D23" s="26">
        <f>D22-SALES!D22+PURCHASE!D22</f>
        <v>154</v>
      </c>
      <c r="E23" s="26">
        <f>E22-SALES!E22+PURCHASE!E22</f>
        <v>86</v>
      </c>
      <c r="F23" s="26">
        <f>F22-SALES!F22+PURCHASE!F22</f>
        <v>126</v>
      </c>
      <c r="G23" s="26">
        <f>G22-SALES!G22+PURCHASE!G22</f>
        <v>310</v>
      </c>
      <c r="H23" s="26">
        <f>H22-SALES!H22+PURCHASE!H22</f>
        <v>46</v>
      </c>
      <c r="I23" s="26">
        <f>I22-SALES!I22+PURCHASE!I22</f>
        <v>20</v>
      </c>
      <c r="J23" s="39">
        <v>0.0</v>
      </c>
      <c r="K23" s="26">
        <f>K22-SALES!K22+PURCHASE!K22</f>
        <v>17</v>
      </c>
      <c r="L23" s="5">
        <f t="shared" si="1"/>
        <v>2319</v>
      </c>
      <c r="M23" s="29">
        <f t="shared" si="2"/>
        <v>231.9</v>
      </c>
      <c r="N23" s="4">
        <f>DATE(2023,4,21)</f>
        <v>45037</v>
      </c>
    </row>
    <row r="24" ht="15.75" customHeight="1">
      <c r="A24" s="4">
        <f>DATE(2023,4,22)</f>
        <v>45038</v>
      </c>
      <c r="B24" s="26">
        <f>B23-SALES!B23+PURCHASE!B23</f>
        <v>1010</v>
      </c>
      <c r="C24" s="26">
        <f>C23-SALES!C23+PURCHASE!C23</f>
        <v>472</v>
      </c>
      <c r="D24" s="26">
        <f>D23-SALES!D23+PURCHASE!D23</f>
        <v>146</v>
      </c>
      <c r="E24" s="26">
        <f>E23-SALES!E23+PURCHASE!E23</f>
        <v>84</v>
      </c>
      <c r="F24" s="26">
        <f>F23-SALES!F23+PURCHASE!F23</f>
        <v>124</v>
      </c>
      <c r="G24" s="26">
        <f>G23-SALES!G23+PURCHASE!G23</f>
        <v>302</v>
      </c>
      <c r="H24" s="26">
        <f>H23-SALES!H23+PURCHASE!H23</f>
        <v>220</v>
      </c>
      <c r="I24" s="26">
        <f>I23-SALES!I23+PURCHASE!I23</f>
        <v>116</v>
      </c>
      <c r="J24" s="39">
        <v>0.0</v>
      </c>
      <c r="K24" s="26">
        <f>K23-SALES!K23+PURCHASE!K23</f>
        <v>25</v>
      </c>
      <c r="L24" s="5">
        <f t="shared" si="1"/>
        <v>2499</v>
      </c>
      <c r="M24" s="29">
        <f t="shared" si="2"/>
        <v>249.9</v>
      </c>
      <c r="N24" s="4">
        <f>DATE(2023,4,22)</f>
        <v>45038</v>
      </c>
    </row>
    <row r="25" ht="15.75" customHeight="1">
      <c r="A25" s="4">
        <f>DATE(2023,4,23)</f>
        <v>45039</v>
      </c>
      <c r="B25" s="26">
        <f>B24-SALES!B24+PURCHASE!B24</f>
        <v>750</v>
      </c>
      <c r="C25" s="26">
        <f>C24-SALES!C24+PURCHASE!C24</f>
        <v>382</v>
      </c>
      <c r="D25" s="26">
        <f>D24-SALES!D24+PURCHASE!D24</f>
        <v>110</v>
      </c>
      <c r="E25" s="26">
        <f>E24-SALES!E24+PURCHASE!E24</f>
        <v>58</v>
      </c>
      <c r="F25" s="26">
        <f>F24-SALES!F24+PURCHASE!F24</f>
        <v>96</v>
      </c>
      <c r="G25" s="26">
        <f>G24-SALES!G24+PURCHASE!G24</f>
        <v>208</v>
      </c>
      <c r="H25" s="26">
        <f>H24-SALES!H24+PURCHASE!H24</f>
        <v>152</v>
      </c>
      <c r="I25" s="26">
        <f>I24-SALES!I24+PURCHASE!I24</f>
        <v>98</v>
      </c>
      <c r="J25" s="39">
        <v>0.0</v>
      </c>
      <c r="K25" s="26">
        <f>K24-SALES!K24+PURCHASE!K24</f>
        <v>19</v>
      </c>
      <c r="L25" s="5">
        <f t="shared" si="1"/>
        <v>1873</v>
      </c>
      <c r="M25" s="29">
        <f t="shared" si="2"/>
        <v>187.3</v>
      </c>
      <c r="N25" s="4">
        <f>DATE(2023,4,23)</f>
        <v>45039</v>
      </c>
    </row>
    <row r="26" ht="15.75" customHeight="1">
      <c r="A26" s="4">
        <f>DATE(2023,4,24)</f>
        <v>45040</v>
      </c>
      <c r="B26" s="26">
        <f>B25-SALES!B25+PURCHASE!B25</f>
        <v>460</v>
      </c>
      <c r="C26" s="26">
        <f>C25-SALES!C25+PURCHASE!C25</f>
        <v>266</v>
      </c>
      <c r="D26" s="26">
        <f>D25-SALES!D25+PURCHASE!D25</f>
        <v>80</v>
      </c>
      <c r="E26" s="26">
        <f>E25-SALES!E25+PURCHASE!E25</f>
        <v>38</v>
      </c>
      <c r="F26" s="26">
        <f>F25-SALES!F25+PURCHASE!F25</f>
        <v>60</v>
      </c>
      <c r="G26" s="26">
        <f>G25-SALES!G25+PURCHASE!G25</f>
        <v>108</v>
      </c>
      <c r="H26" s="26">
        <f>H25-SALES!H25+PURCHASE!H25</f>
        <v>92</v>
      </c>
      <c r="I26" s="26">
        <f>I25-SALES!I25+PURCHASE!I25</f>
        <v>78</v>
      </c>
      <c r="J26" s="39">
        <v>0.0</v>
      </c>
      <c r="K26" s="26">
        <f>K25-SALES!K25+PURCHASE!K25</f>
        <v>9</v>
      </c>
      <c r="L26" s="5">
        <f t="shared" si="1"/>
        <v>1191</v>
      </c>
      <c r="M26" s="29">
        <f t="shared" si="2"/>
        <v>119.1</v>
      </c>
      <c r="N26" s="4">
        <f>DATE(2023,4,24)</f>
        <v>45040</v>
      </c>
    </row>
    <row r="27" ht="15.75" customHeight="1">
      <c r="A27" s="4">
        <f>DATE(2023,4,25)</f>
        <v>45041</v>
      </c>
      <c r="B27" s="26">
        <f>B26-SALES!B26+PURCHASE!B26</f>
        <v>730</v>
      </c>
      <c r="C27" s="26">
        <f>C26-SALES!C26+PURCHASE!C26</f>
        <v>170</v>
      </c>
      <c r="D27" s="26">
        <f>D26-SALES!D26+PURCHASE!D26</f>
        <v>100</v>
      </c>
      <c r="E27" s="26">
        <f>E26-SALES!E26+PURCHASE!E26</f>
        <v>70</v>
      </c>
      <c r="F27" s="26">
        <f>F26-SALES!F26+PURCHASE!F26</f>
        <v>86</v>
      </c>
      <c r="G27" s="26">
        <f>G26-SALES!G26+PURCHASE!G26</f>
        <v>154</v>
      </c>
      <c r="H27" s="26">
        <f>H26-SALES!H26+PURCHASE!H26</f>
        <v>116</v>
      </c>
      <c r="I27" s="26">
        <f>I26-SALES!I26+PURCHASE!I26</f>
        <v>56</v>
      </c>
      <c r="J27" s="39">
        <v>0.0</v>
      </c>
      <c r="K27" s="26">
        <f>K26-SALES!K26+PURCHASE!K26</f>
        <v>18</v>
      </c>
      <c r="L27" s="5">
        <f t="shared" si="1"/>
        <v>1500</v>
      </c>
      <c r="M27" s="29">
        <f t="shared" si="2"/>
        <v>150</v>
      </c>
      <c r="N27" s="4">
        <f>DATE(2023,4,25)</f>
        <v>45041</v>
      </c>
    </row>
    <row r="28" ht="15.75" customHeight="1">
      <c r="A28" s="4">
        <f>DATE(2023,4,26)</f>
        <v>45042</v>
      </c>
      <c r="B28" s="26">
        <f>B27-SALES!B27+PURCHASE!B27</f>
        <v>570</v>
      </c>
      <c r="C28" s="26">
        <f>C27-SALES!C27+PURCHASE!C27</f>
        <v>110</v>
      </c>
      <c r="D28" s="26">
        <f>D27-SALES!D27+PURCHASE!D27</f>
        <v>78</v>
      </c>
      <c r="E28" s="26">
        <f>E27-SALES!E27+PURCHASE!E27</f>
        <v>60</v>
      </c>
      <c r="F28" s="26">
        <f>F27-SALES!F27+PURCHASE!F27</f>
        <v>70</v>
      </c>
      <c r="G28" s="26">
        <f>G27-SALES!G27+PURCHASE!G27</f>
        <v>114</v>
      </c>
      <c r="H28" s="26">
        <f>H27-SALES!H27+PURCHASE!H27</f>
        <v>94</v>
      </c>
      <c r="I28" s="26">
        <f>I27-SALES!I27+PURCHASE!I27</f>
        <v>36</v>
      </c>
      <c r="J28" s="39">
        <v>0.0</v>
      </c>
      <c r="K28" s="26">
        <f>K27-SALES!K27+PURCHASE!K27</f>
        <v>6</v>
      </c>
      <c r="L28" s="5">
        <f t="shared" si="1"/>
        <v>1138</v>
      </c>
      <c r="M28" s="29">
        <f t="shared" si="2"/>
        <v>113.8</v>
      </c>
      <c r="N28" s="4">
        <f>DATE(2023,4,26)</f>
        <v>45042</v>
      </c>
    </row>
    <row r="29" ht="15.75" customHeight="1">
      <c r="A29" s="4">
        <f>DATE(2023,4,27)</f>
        <v>45043</v>
      </c>
      <c r="B29" s="26">
        <f>B28-SALES!B28+PURCHASE!B28</f>
        <v>500</v>
      </c>
      <c r="C29" s="26">
        <f>C28-SALES!C28+PURCHASE!C28</f>
        <v>94</v>
      </c>
      <c r="D29" s="26">
        <f>D28-SALES!D28+PURCHASE!D28</f>
        <v>66</v>
      </c>
      <c r="E29" s="26">
        <f>E28-SALES!E28+PURCHASE!E28</f>
        <v>52</v>
      </c>
      <c r="F29" s="26">
        <f>F28-SALES!F28+PURCHASE!F28</f>
        <v>62</v>
      </c>
      <c r="G29" s="26">
        <f>G28-SALES!G28+PURCHASE!G28</f>
        <v>102</v>
      </c>
      <c r="H29" s="26">
        <f>H28-SALES!H28+PURCHASE!H28</f>
        <v>88</v>
      </c>
      <c r="I29" s="26">
        <f>I28-SALES!I28+PURCHASE!I28</f>
        <v>34</v>
      </c>
      <c r="J29" s="39">
        <v>0.0</v>
      </c>
      <c r="K29" s="26">
        <f>K28-SALES!K28+PURCHASE!K28</f>
        <v>6</v>
      </c>
      <c r="L29" s="5">
        <f t="shared" si="1"/>
        <v>1004</v>
      </c>
      <c r="M29" s="29">
        <f t="shared" si="2"/>
        <v>100.4</v>
      </c>
      <c r="N29" s="4">
        <f>DATE(2023,4,27)</f>
        <v>45043</v>
      </c>
    </row>
    <row r="30" ht="15.75" customHeight="1">
      <c r="A30" s="4">
        <f>DATE(2023,4,28)</f>
        <v>45044</v>
      </c>
      <c r="B30" s="26">
        <f>B29-SALES!B29+PURCHASE!B29</f>
        <v>890</v>
      </c>
      <c r="C30" s="26">
        <f>C29-SALES!C29+PURCHASE!C29</f>
        <v>214</v>
      </c>
      <c r="D30" s="26">
        <f>D29-SALES!D29+PURCHASE!D29</f>
        <v>48</v>
      </c>
      <c r="E30" s="26">
        <f>E29-SALES!E29+PURCHASE!E29</f>
        <v>42</v>
      </c>
      <c r="F30" s="26">
        <f>F29-SALES!F29+PURCHASE!F29</f>
        <v>46</v>
      </c>
      <c r="G30" s="26">
        <f>G29-SALES!G29+PURCHASE!G29</f>
        <v>90</v>
      </c>
      <c r="H30" s="26">
        <f>H29-SALES!H29+PURCHASE!H29</f>
        <v>128</v>
      </c>
      <c r="I30" s="26">
        <f>I29-SALES!I29+PURCHASE!I29</f>
        <v>30</v>
      </c>
      <c r="J30" s="39">
        <v>0.0</v>
      </c>
      <c r="K30" s="26">
        <f>K29-SALES!K29+PURCHASE!K29</f>
        <v>6</v>
      </c>
      <c r="L30" s="5">
        <f t="shared" si="1"/>
        <v>1494</v>
      </c>
      <c r="M30" s="29">
        <f t="shared" si="2"/>
        <v>149.4</v>
      </c>
      <c r="N30" s="4">
        <f>DATE(2023,4,28)</f>
        <v>45044</v>
      </c>
    </row>
    <row r="31" ht="15.75" customHeight="1">
      <c r="A31" s="4">
        <f>DATE(2023,4,29)</f>
        <v>45045</v>
      </c>
      <c r="B31" s="26">
        <f>B30-SALES!B30+PURCHASE!B30</f>
        <v>630</v>
      </c>
      <c r="C31" s="26">
        <f>C30-SALES!C30+PURCHASE!C30</f>
        <v>154</v>
      </c>
      <c r="D31" s="26">
        <f>D30-SALES!D30+PURCHASE!D30</f>
        <v>68</v>
      </c>
      <c r="E31" s="26">
        <f>E30-SALES!E30+PURCHASE!E30</f>
        <v>58</v>
      </c>
      <c r="F31" s="26">
        <f>F30-SALES!F30+PURCHASE!F30</f>
        <v>82</v>
      </c>
      <c r="G31" s="26">
        <f>G30-SALES!G30+PURCHASE!G30</f>
        <v>72</v>
      </c>
      <c r="H31" s="26">
        <f>H30-SALES!H30+PURCHASE!H30</f>
        <v>100</v>
      </c>
      <c r="I31" s="26">
        <f>I30-SALES!I30+PURCHASE!I30</f>
        <v>22</v>
      </c>
      <c r="J31" s="39">
        <v>0.0</v>
      </c>
      <c r="K31" s="26">
        <f>K30-SALES!K30+PURCHASE!K30</f>
        <v>10</v>
      </c>
      <c r="L31" s="5">
        <f t="shared" si="1"/>
        <v>1196</v>
      </c>
      <c r="M31" s="29">
        <f t="shared" si="2"/>
        <v>119.6</v>
      </c>
      <c r="N31" s="4">
        <f>DATE(2023,4,29)</f>
        <v>45045</v>
      </c>
    </row>
    <row r="32" ht="15.75" customHeight="1">
      <c r="A32" s="4">
        <f>DATE(2023,4,30)</f>
        <v>45046</v>
      </c>
      <c r="B32" s="26">
        <f>B31-SALES!B31+PURCHASE!B31</f>
        <v>470</v>
      </c>
      <c r="C32" s="26">
        <f>C31-SALES!C31+PURCHASE!C31</f>
        <v>130</v>
      </c>
      <c r="D32" s="26">
        <f>D31-SALES!D31+PURCHASE!D31</f>
        <v>54</v>
      </c>
      <c r="E32" s="26">
        <f>E31-SALES!E31+PURCHASE!E31</f>
        <v>42</v>
      </c>
      <c r="F32" s="26">
        <f>F31-SALES!F31+PURCHASE!F31</f>
        <v>64</v>
      </c>
      <c r="G32" s="26">
        <f>G31-SALES!G31+PURCHASE!G31</f>
        <v>62</v>
      </c>
      <c r="H32" s="26">
        <f>H31-SALES!H31+PURCHASE!H31</f>
        <v>80</v>
      </c>
      <c r="I32" s="26">
        <f>I31-SALES!I31+PURCHASE!I31</f>
        <v>18</v>
      </c>
      <c r="J32" s="39">
        <v>0.0</v>
      </c>
      <c r="K32" s="26">
        <f>K31-SALES!K31+PURCHASE!K31</f>
        <v>8</v>
      </c>
      <c r="L32" s="5">
        <f t="shared" si="1"/>
        <v>928</v>
      </c>
      <c r="M32" s="29">
        <f t="shared" si="2"/>
        <v>92.8</v>
      </c>
      <c r="N32" s="4">
        <f>DATE(2023,4,30)</f>
        <v>45046</v>
      </c>
    </row>
    <row r="33" ht="15.75" customHeight="1">
      <c r="A33" s="4">
        <f>DATE(2023,4,31)</f>
        <v>45047</v>
      </c>
      <c r="B33" s="26">
        <f>B32-SALES!B32+PURCHASE!B32</f>
        <v>314</v>
      </c>
      <c r="C33" s="26">
        <f>C32-SALES!C32+PURCHASE!C32</f>
        <v>104</v>
      </c>
      <c r="D33" s="26">
        <f>D32-SALES!D32+PURCHASE!D32</f>
        <v>38</v>
      </c>
      <c r="E33" s="26">
        <f>E32-SALES!E32+PURCHASE!E32</f>
        <v>32</v>
      </c>
      <c r="F33" s="26">
        <f>F32-SALES!F32+PURCHASE!F32</f>
        <v>52</v>
      </c>
      <c r="G33" s="26">
        <f>G32-SALES!G32+PURCHASE!G32</f>
        <v>48</v>
      </c>
      <c r="H33" s="26">
        <f>H32-SALES!H32+PURCHASE!H32</f>
        <v>58</v>
      </c>
      <c r="I33" s="26">
        <f>I32-SALES!I32+PURCHASE!I32</f>
        <v>16</v>
      </c>
      <c r="J33" s="39">
        <v>0.0</v>
      </c>
      <c r="K33" s="26">
        <f>K32-SALES!K32+PURCHASE!K32</f>
        <v>8</v>
      </c>
      <c r="L33" s="5">
        <f t="shared" si="1"/>
        <v>670</v>
      </c>
      <c r="M33" s="29">
        <f t="shared" si="2"/>
        <v>67</v>
      </c>
      <c r="N33" s="4">
        <f>DATE(2023,4,31)</f>
        <v>45047</v>
      </c>
    </row>
    <row r="34" ht="15.75" customHeight="1">
      <c r="A34" s="5"/>
      <c r="B34" s="40">
        <f t="shared" ref="B34:K34" si="3">AVERAGE(B3:B33)</f>
        <v>497.3548387</v>
      </c>
      <c r="C34" s="40">
        <f t="shared" si="3"/>
        <v>187.0967742</v>
      </c>
      <c r="D34" s="40">
        <f t="shared" si="3"/>
        <v>54.32258065</v>
      </c>
      <c r="E34" s="40">
        <f t="shared" si="3"/>
        <v>45.22580645</v>
      </c>
      <c r="F34" s="40">
        <f t="shared" si="3"/>
        <v>63.48387097</v>
      </c>
      <c r="G34" s="40">
        <f t="shared" si="3"/>
        <v>103.0967742</v>
      </c>
      <c r="H34" s="40">
        <f t="shared" si="3"/>
        <v>78.58064516</v>
      </c>
      <c r="I34" s="40">
        <f t="shared" si="3"/>
        <v>30.06451613</v>
      </c>
      <c r="J34" s="40">
        <f t="shared" si="3"/>
        <v>0</v>
      </c>
      <c r="K34" s="40">
        <f t="shared" si="3"/>
        <v>11.93548387</v>
      </c>
      <c r="L34" s="41" t="s">
        <v>33</v>
      </c>
      <c r="M34" s="42">
        <f>SUM(M3:M33)/31</f>
        <v>107.116129</v>
      </c>
      <c r="N34" s="5"/>
    </row>
    <row r="35" ht="15.75" customHeight="1">
      <c r="A35" s="5"/>
      <c r="B35" s="43"/>
      <c r="C35" s="43"/>
      <c r="D35" s="43"/>
      <c r="E35" s="43"/>
      <c r="F35" s="43"/>
      <c r="G35" s="43"/>
      <c r="H35" s="43"/>
      <c r="I35" s="40"/>
      <c r="J35" s="5"/>
      <c r="K35" s="40"/>
      <c r="L35" s="44" t="s">
        <v>34</v>
      </c>
      <c r="M35" s="45">
        <f>M34*PURCHASE!L35</f>
        <v>18524.85685</v>
      </c>
      <c r="N35" s="5"/>
    </row>
    <row r="36" ht="15.75" customHeight="1">
      <c r="B36" s="2" t="s">
        <v>4</v>
      </c>
      <c r="C36" s="2" t="s">
        <v>5</v>
      </c>
      <c r="D36" s="2" t="s">
        <v>6</v>
      </c>
      <c r="E36" s="2" t="s">
        <v>7</v>
      </c>
      <c r="F36" s="2" t="s">
        <v>8</v>
      </c>
      <c r="G36" s="2" t="s">
        <v>9</v>
      </c>
      <c r="H36" s="3" t="s">
        <v>10</v>
      </c>
      <c r="I36" s="2" t="s">
        <v>11</v>
      </c>
      <c r="J36" s="2" t="s">
        <v>12</v>
      </c>
      <c r="K36" s="2" t="s">
        <v>13</v>
      </c>
    </row>
    <row r="37" ht="15.75" customHeight="1">
      <c r="B37" s="46">
        <v>497.35483870967744</v>
      </c>
      <c r="C37" s="46">
        <v>187.09677419354838</v>
      </c>
      <c r="D37" s="46">
        <v>54.32258064516129</v>
      </c>
      <c r="E37" s="46">
        <v>45.225806451612904</v>
      </c>
      <c r="F37" s="46">
        <v>63.483870967741936</v>
      </c>
      <c r="G37" s="46">
        <v>103.09677419354838</v>
      </c>
      <c r="H37" s="46">
        <v>78.58064516129032</v>
      </c>
      <c r="I37" s="46">
        <v>30.06451612903226</v>
      </c>
      <c r="J37" s="46">
        <v>0.0</v>
      </c>
      <c r="K37" s="46">
        <v>11.935483870967742</v>
      </c>
    </row>
    <row r="38" ht="15.75" customHeight="1">
      <c r="C38" s="47" t="s">
        <v>35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7" width="18.38"/>
    <col customWidth="1" min="8" max="27" width="14.38"/>
  </cols>
  <sheetData>
    <row r="1" ht="15.75" customHeight="1">
      <c r="A1" s="2"/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3" t="s">
        <v>10</v>
      </c>
      <c r="I1" s="2" t="s">
        <v>11</v>
      </c>
      <c r="J1" s="2" t="s">
        <v>12</v>
      </c>
      <c r="K1" s="2" t="s">
        <v>13</v>
      </c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</row>
    <row r="2" ht="15.75" customHeight="1">
      <c r="A2" s="2" t="s">
        <v>36</v>
      </c>
      <c r="B2" s="48">
        <v>40.122580645161285</v>
      </c>
      <c r="C2" s="48">
        <v>37.89806451612905</v>
      </c>
      <c r="D2" s="48">
        <v>96.06580645161286</v>
      </c>
      <c r="E2" s="48">
        <v>100.04516129032253</v>
      </c>
      <c r="F2" s="48">
        <v>105.94838709677408</v>
      </c>
      <c r="G2" s="48">
        <v>41.48129032258063</v>
      </c>
      <c r="H2" s="48">
        <v>142.33419354838705</v>
      </c>
      <c r="I2" s="48">
        <v>391.6741935483871</v>
      </c>
      <c r="J2" s="48">
        <v>56.8774193548387</v>
      </c>
      <c r="K2" s="48">
        <v>716.9709677419353</v>
      </c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</row>
    <row r="3" ht="15.75" customHeight="1">
      <c r="A3" s="2" t="s">
        <v>37</v>
      </c>
      <c r="B3" s="48">
        <v>44.58064516129032</v>
      </c>
      <c r="C3" s="48">
        <v>41.193548387096776</v>
      </c>
      <c r="D3" s="48">
        <v>104.41935483870968</v>
      </c>
      <c r="E3" s="48">
        <v>111.16129032258064</v>
      </c>
      <c r="F3" s="48">
        <v>115.16129032258064</v>
      </c>
      <c r="G3" s="48">
        <v>44.12903225806452</v>
      </c>
      <c r="H3" s="48">
        <v>151.41935483870967</v>
      </c>
      <c r="I3" s="48">
        <v>435.19354838709677</v>
      </c>
      <c r="J3" s="48">
        <v>59.87096774193548</v>
      </c>
      <c r="K3" s="48">
        <v>874.3548387096774</v>
      </c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</row>
    <row r="4" ht="15.75" customHeight="1">
      <c r="A4" s="2" t="s">
        <v>38</v>
      </c>
      <c r="B4" s="48">
        <f t="shared" ref="B4:K4" si="1">B3-B2</f>
        <v>4.458064516</v>
      </c>
      <c r="C4" s="48">
        <f t="shared" si="1"/>
        <v>3.295483871</v>
      </c>
      <c r="D4" s="48">
        <f t="shared" si="1"/>
        <v>8.353548387</v>
      </c>
      <c r="E4" s="48">
        <f t="shared" si="1"/>
        <v>11.11612903</v>
      </c>
      <c r="F4" s="48">
        <f t="shared" si="1"/>
        <v>9.212903226</v>
      </c>
      <c r="G4" s="48">
        <f t="shared" si="1"/>
        <v>2.647741935</v>
      </c>
      <c r="H4" s="48">
        <f t="shared" si="1"/>
        <v>9.08516129</v>
      </c>
      <c r="I4" s="48">
        <f t="shared" si="1"/>
        <v>43.51935484</v>
      </c>
      <c r="J4" s="48">
        <f t="shared" si="1"/>
        <v>2.993548387</v>
      </c>
      <c r="K4" s="48">
        <f t="shared" si="1"/>
        <v>157.383871</v>
      </c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</row>
    <row r="5" ht="15.75" customHeight="1">
      <c r="A5" s="2"/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3" t="s">
        <v>10</v>
      </c>
      <c r="I5" s="2" t="s">
        <v>11</v>
      </c>
      <c r="J5" s="2" t="s">
        <v>12</v>
      </c>
      <c r="K5" s="2" t="s">
        <v>13</v>
      </c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</row>
    <row r="6" ht="15.75" customHeight="1">
      <c r="A6" s="5"/>
      <c r="B6" s="5"/>
      <c r="C6" s="49"/>
      <c r="D6" s="5"/>
      <c r="E6" s="5"/>
      <c r="F6" s="5"/>
      <c r="G6" s="5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</row>
    <row r="7" ht="15.75" customHeight="1">
      <c r="A7" s="2" t="s">
        <v>39</v>
      </c>
      <c r="B7" s="2" t="s">
        <v>40</v>
      </c>
      <c r="C7" s="2" t="s">
        <v>41</v>
      </c>
      <c r="D7" s="2" t="s">
        <v>42</v>
      </c>
      <c r="E7" s="2" t="s">
        <v>43</v>
      </c>
      <c r="F7" s="3" t="s">
        <v>44</v>
      </c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</row>
    <row r="8" ht="15.75" customHeight="1">
      <c r="A8" s="2" t="s">
        <v>4</v>
      </c>
      <c r="B8" s="7">
        <f>SALES!V34-PURCHASE!V37</f>
        <v>20144.2</v>
      </c>
      <c r="C8" s="7">
        <v>140152.0</v>
      </c>
      <c r="D8" s="20">
        <f t="shared" ref="D8:E8" si="2">B8/B$18</f>
        <v>0.2579288915</v>
      </c>
      <c r="E8" s="50">
        <f t="shared" si="2"/>
        <v>0.1903359861</v>
      </c>
      <c r="F8" s="20">
        <f>B4/B3</f>
        <v>0.1</v>
      </c>
      <c r="G8" s="51"/>
      <c r="H8" s="20"/>
      <c r="I8" s="20"/>
      <c r="J8" s="20"/>
      <c r="K8" s="20"/>
      <c r="L8" s="20"/>
      <c r="M8" s="20"/>
      <c r="N8" s="20"/>
      <c r="O8" s="20"/>
      <c r="P8" s="20"/>
      <c r="Q8" s="20"/>
      <c r="R8" s="17"/>
      <c r="S8" s="17"/>
      <c r="T8" s="17"/>
      <c r="U8" s="17"/>
      <c r="V8" s="17"/>
      <c r="W8" s="17"/>
      <c r="X8" s="17"/>
      <c r="Y8" s="17"/>
      <c r="Z8" s="17"/>
      <c r="AA8" s="17"/>
    </row>
    <row r="9" ht="15.75" customHeight="1">
      <c r="A9" s="2" t="s">
        <v>5</v>
      </c>
      <c r="B9" s="7">
        <f>SALES!W34-PURCHASE!W37</f>
        <v>5105.68</v>
      </c>
      <c r="C9" s="7">
        <v>52482.0</v>
      </c>
      <c r="D9" s="20">
        <f t="shared" ref="D9:E9" si="3">B9/B$18</f>
        <v>0.06537377423</v>
      </c>
      <c r="E9" s="50">
        <f t="shared" si="3"/>
        <v>0.07127413966</v>
      </c>
      <c r="F9" s="20">
        <f>C4/C3</f>
        <v>0.08</v>
      </c>
      <c r="G9" s="51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</row>
    <row r="10" ht="15.75" customHeight="1">
      <c r="A10" s="2" t="s">
        <v>6</v>
      </c>
      <c r="B10" s="7">
        <f>SALES!X34-PURCHASE!X37</f>
        <v>4964.4</v>
      </c>
      <c r="C10" s="7">
        <v>46116.0</v>
      </c>
      <c r="D10" s="20">
        <f t="shared" ref="D10:E10" si="4">B10/B$18</f>
        <v>0.06356480719</v>
      </c>
      <c r="E10" s="50">
        <f t="shared" si="4"/>
        <v>0.06262867697</v>
      </c>
      <c r="F10" s="20">
        <f>D4/D3</f>
        <v>0.08</v>
      </c>
      <c r="G10" s="51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</row>
    <row r="11" ht="15.75" customHeight="1">
      <c r="A11" s="2" t="s">
        <v>7</v>
      </c>
      <c r="B11" s="7">
        <f>SALES!Y34-PURCHASE!Y37</f>
        <v>4985.4</v>
      </c>
      <c r="C11" s="7">
        <v>36786.0</v>
      </c>
      <c r="D11" s="20">
        <f t="shared" ref="D11:E11" si="5">B11/B$18</f>
        <v>0.06383369385</v>
      </c>
      <c r="E11" s="50">
        <f t="shared" si="5"/>
        <v>0.04995789988</v>
      </c>
      <c r="F11" s="20">
        <f>E4/E3</f>
        <v>0.1</v>
      </c>
      <c r="G11" s="51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</row>
    <row r="12" ht="15.75" customHeight="1">
      <c r="A12" s="2" t="s">
        <v>8</v>
      </c>
      <c r="B12" s="7">
        <f>SALES!Z34-PURCHASE!Z37</f>
        <v>6313.12</v>
      </c>
      <c r="C12" s="7">
        <v>59226.0</v>
      </c>
      <c r="D12" s="20">
        <f t="shared" ref="D12:E12" si="6">B12/B$18</f>
        <v>0.08083398912</v>
      </c>
      <c r="E12" s="50">
        <f t="shared" si="6"/>
        <v>0.08043295217</v>
      </c>
      <c r="F12" s="20">
        <f>F4/F3</f>
        <v>0.08</v>
      </c>
      <c r="G12" s="51"/>
      <c r="H12" s="17"/>
      <c r="I12" s="17"/>
      <c r="J12" s="5"/>
      <c r="K12" s="5"/>
      <c r="L12" s="5"/>
      <c r="M12" s="5"/>
      <c r="N12" s="5"/>
      <c r="O12" s="5"/>
      <c r="P12" s="5"/>
      <c r="Q12" s="5"/>
      <c r="R12" s="5"/>
      <c r="S12" s="5"/>
      <c r="T12" s="17"/>
      <c r="U12" s="17"/>
      <c r="V12" s="17"/>
      <c r="W12" s="17"/>
      <c r="X12" s="17"/>
      <c r="Y12" s="17"/>
      <c r="Z12" s="17"/>
      <c r="AA12" s="17"/>
    </row>
    <row r="13" ht="15.75" customHeight="1">
      <c r="A13" s="2" t="s">
        <v>9</v>
      </c>
      <c r="B13" s="7">
        <f>SALES!AA34-PURCHASE!AA37</f>
        <v>1890.8</v>
      </c>
      <c r="C13" s="7">
        <v>32046.0</v>
      </c>
      <c r="D13" s="20">
        <f t="shared" ref="D13:E13" si="7">B13/B$18</f>
        <v>0.02421004299</v>
      </c>
      <c r="E13" s="50">
        <f t="shared" si="7"/>
        <v>0.04352065622</v>
      </c>
      <c r="F13" s="20">
        <f>G4/G3</f>
        <v>0.06</v>
      </c>
      <c r="G13" s="51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</row>
    <row r="14" ht="15.75" customHeight="1">
      <c r="A14" s="3" t="s">
        <v>10</v>
      </c>
      <c r="B14" s="7">
        <f>SALES!AB34-PURCHASE!AB37</f>
        <v>5229.52</v>
      </c>
      <c r="C14" s="7">
        <v>83994.0</v>
      </c>
      <c r="D14" s="20">
        <f t="shared" ref="D14:E14" si="8">B14/B$18</f>
        <v>0.06695943729</v>
      </c>
      <c r="E14" s="50">
        <f t="shared" si="8"/>
        <v>0.1140695874</v>
      </c>
      <c r="F14" s="20">
        <f>H4/H3</f>
        <v>0.06</v>
      </c>
      <c r="G14" s="51"/>
      <c r="H14" s="17"/>
      <c r="I14" s="17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17"/>
      <c r="U14" s="17"/>
      <c r="V14" s="17"/>
      <c r="W14" s="17"/>
      <c r="X14" s="17"/>
      <c r="Y14" s="17"/>
      <c r="Z14" s="17"/>
      <c r="AA14" s="17"/>
    </row>
    <row r="15" ht="15.75" customHeight="1">
      <c r="A15" s="2" t="s">
        <v>11</v>
      </c>
      <c r="B15" s="7">
        <f>SALES!AC34-PURCHASE!AC37</f>
        <v>9718.5</v>
      </c>
      <c r="C15" s="7">
        <v>82965.0</v>
      </c>
      <c r="D15" s="20">
        <f t="shared" ref="D15:E15" si="9">B15/B$18</f>
        <v>0.1244369065</v>
      </c>
      <c r="E15" s="50">
        <f t="shared" si="9"/>
        <v>0.1126721352</v>
      </c>
      <c r="F15" s="20">
        <f>I4/I3</f>
        <v>0.1</v>
      </c>
      <c r="G15" s="51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</row>
    <row r="16" ht="15.75" customHeight="1">
      <c r="A16" s="2" t="s">
        <v>12</v>
      </c>
      <c r="B16" s="7">
        <f>SALES!AD34-PURCHASE!AD37</f>
        <v>2527</v>
      </c>
      <c r="C16" s="7">
        <v>116603.0</v>
      </c>
      <c r="D16" s="20">
        <f t="shared" ref="D16:E16" si="10">B16/B$18</f>
        <v>0.03235602848</v>
      </c>
      <c r="E16" s="50">
        <f t="shared" si="10"/>
        <v>0.1583548361</v>
      </c>
      <c r="F16" s="20">
        <f>J4/J3</f>
        <v>0.05</v>
      </c>
      <c r="G16" s="51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</row>
    <row r="17" ht="15.75" customHeight="1">
      <c r="A17" s="2" t="s">
        <v>13</v>
      </c>
      <c r="B17" s="7">
        <f>SALES!AE34-PURCHASE!AE37</f>
        <v>17221.2</v>
      </c>
      <c r="C17" s="7">
        <v>85970.0</v>
      </c>
      <c r="D17" s="20">
        <f t="shared" ref="D17:E17" si="11">B17/B$18</f>
        <v>0.2205024288</v>
      </c>
      <c r="E17" s="50">
        <f t="shared" si="11"/>
        <v>0.1167531303</v>
      </c>
      <c r="F17" s="20">
        <f>K4/K3</f>
        <v>0.18</v>
      </c>
      <c r="G17" s="51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</row>
    <row r="18" ht="15.75" customHeight="1">
      <c r="A18" s="17"/>
      <c r="B18" s="8">
        <f t="shared" ref="B18:C18" si="12">SUM(B8:B17)</f>
        <v>78099.82</v>
      </c>
      <c r="C18" s="8">
        <f t="shared" si="12"/>
        <v>736340</v>
      </c>
      <c r="D18" s="17"/>
      <c r="E18" s="50"/>
      <c r="F18" s="53">
        <f>AVERAGE(F8:F17)</f>
        <v>0.089</v>
      </c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</row>
    <row r="19" ht="15.75" customHeight="1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</row>
    <row r="20" ht="15.75" customHeight="1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</row>
    <row r="21" ht="15.75" customHeight="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17"/>
      <c r="X21" s="17"/>
      <c r="Y21" s="17"/>
      <c r="Z21" s="17"/>
      <c r="AA21" s="17"/>
    </row>
    <row r="22" ht="15.75" customHeight="1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W22" s="17"/>
      <c r="X22" s="17"/>
      <c r="Y22" s="17"/>
      <c r="Z22" s="17"/>
      <c r="AA22" s="17"/>
    </row>
    <row r="23" ht="15.75" customHeight="1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</row>
    <row r="24" ht="15.75" customHeight="1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</row>
    <row r="25" ht="15.75" customHeight="1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</row>
    <row r="26" ht="15.75" customHeight="1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</row>
    <row r="27" ht="15.75" customHeight="1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</row>
    <row r="28" ht="15.75" customHeight="1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</row>
    <row r="29" ht="15.75" customHeight="1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</row>
    <row r="30" ht="15.75" customHeight="1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</row>
    <row r="31" ht="15.75" customHeight="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</row>
    <row r="32" ht="15.75" customHeight="1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</row>
    <row r="33" ht="15.75" customHeight="1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</row>
    <row r="34" ht="15.75" customHeight="1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</row>
    <row r="35" ht="15.75" customHeight="1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</row>
    <row r="36" ht="15.75" customHeight="1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</row>
    <row r="37" ht="15.75" customHeight="1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</row>
    <row r="38" ht="15.75" customHeight="1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</row>
    <row r="39" ht="15.75" customHeight="1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</row>
    <row r="40" ht="15.75" customHeight="1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</row>
    <row r="41" ht="15.75" customHeight="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</row>
    <row r="42" ht="15.75" customHeight="1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</row>
    <row r="43" ht="15.75" customHeight="1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</row>
    <row r="44" ht="15.75" customHeight="1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ht="15.75" customHeight="1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</row>
    <row r="46" ht="15.75" customHeight="1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</row>
    <row r="47" ht="15.75" customHeight="1">
      <c r="A47" s="2" t="s">
        <v>39</v>
      </c>
      <c r="B47" s="2" t="s">
        <v>42</v>
      </c>
      <c r="C47" s="3" t="s">
        <v>45</v>
      </c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ht="15.75" customHeight="1">
      <c r="A48" s="2" t="s">
        <v>4</v>
      </c>
      <c r="B48" s="54">
        <v>0.2579288915134502</v>
      </c>
      <c r="C48" s="54">
        <f>B48</f>
        <v>0.2579288915</v>
      </c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</row>
    <row r="49" ht="15.75" customHeight="1">
      <c r="A49" s="2" t="s">
        <v>13</v>
      </c>
      <c r="B49" s="54">
        <v>0.2205024288148166</v>
      </c>
      <c r="C49" s="54">
        <f t="shared" ref="C49:C57" si="13">C48+B49</f>
        <v>0.4784313203</v>
      </c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</row>
    <row r="50" ht="15.75" customHeight="1">
      <c r="A50" s="2" t="s">
        <v>11</v>
      </c>
      <c r="B50" s="54">
        <v>0.12443690651271662</v>
      </c>
      <c r="C50" s="54">
        <f t="shared" si="13"/>
        <v>0.6028682268</v>
      </c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ht="15.75" customHeight="1">
      <c r="A51" s="2" t="s">
        <v>8</v>
      </c>
      <c r="B51" s="54">
        <v>0.08083398911802869</v>
      </c>
      <c r="C51" s="54">
        <f t="shared" si="13"/>
        <v>0.683702216</v>
      </c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</row>
    <row r="52" ht="15.75" customHeight="1">
      <c r="A52" s="3" t="s">
        <v>10</v>
      </c>
      <c r="B52" s="54">
        <v>0.06695943729447797</v>
      </c>
      <c r="C52" s="54">
        <f t="shared" si="13"/>
        <v>0.7506616533</v>
      </c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</row>
    <row r="53" ht="15.75" customHeight="1">
      <c r="A53" s="2" t="s">
        <v>5</v>
      </c>
      <c r="B53" s="54">
        <v>0.06537377422892905</v>
      </c>
      <c r="C53" s="54">
        <f t="shared" si="13"/>
        <v>0.8160354275</v>
      </c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ht="15.75" customHeight="1">
      <c r="A54" s="2" t="s">
        <v>7</v>
      </c>
      <c r="B54" s="54">
        <v>0.06383369385486419</v>
      </c>
      <c r="C54" s="54">
        <f t="shared" si="13"/>
        <v>0.8798691213</v>
      </c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</row>
    <row r="55" ht="15.75" customHeight="1">
      <c r="A55" s="2" t="s">
        <v>6</v>
      </c>
      <c r="B55" s="54">
        <v>0.06356480719161717</v>
      </c>
      <c r="C55" s="54">
        <f t="shared" si="13"/>
        <v>0.9434339285</v>
      </c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</row>
    <row r="56" ht="15.75" customHeight="1">
      <c r="A56" s="2" t="s">
        <v>12</v>
      </c>
      <c r="B56" s="54">
        <v>0.03235602847740236</v>
      </c>
      <c r="C56" s="54">
        <f t="shared" si="13"/>
        <v>0.975789957</v>
      </c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</row>
    <row r="57" ht="15.75" customHeight="1">
      <c r="A57" s="2" t="s">
        <v>9</v>
      </c>
      <c r="B57" s="54">
        <v>0.024210042993697067</v>
      </c>
      <c r="C57" s="54">
        <f t="shared" si="13"/>
        <v>1</v>
      </c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</row>
    <row r="58" ht="15.75" customHeight="1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</row>
    <row r="59" ht="15.75" customHeight="1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</row>
    <row r="60" ht="15.75" customHeight="1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</row>
    <row r="61" ht="15.75" customHeight="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</row>
    <row r="62" ht="15.75" customHeight="1">
      <c r="A62" s="2" t="s">
        <v>39</v>
      </c>
      <c r="B62" s="2" t="s">
        <v>43</v>
      </c>
      <c r="C62" s="3" t="s">
        <v>45</v>
      </c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</row>
    <row r="63" ht="15.75" customHeight="1">
      <c r="A63" s="2" t="s">
        <v>4</v>
      </c>
      <c r="B63" s="54">
        <v>0.1903359860933808</v>
      </c>
      <c r="C63" s="54">
        <f>B63</f>
        <v>0.1903359861</v>
      </c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</row>
    <row r="64" ht="15.75" customHeight="1">
      <c r="A64" s="2" t="s">
        <v>12</v>
      </c>
      <c r="B64" s="54">
        <v>0.15835483608115816</v>
      </c>
      <c r="C64" s="54">
        <f t="shared" ref="C64:C72" si="14">C63+B64</f>
        <v>0.3486908222</v>
      </c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</row>
    <row r="65" ht="15.75" customHeight="1">
      <c r="A65" s="2" t="s">
        <v>13</v>
      </c>
      <c r="B65" s="54">
        <v>0.11675313034739386</v>
      </c>
      <c r="C65" s="54">
        <f t="shared" si="14"/>
        <v>0.4654439525</v>
      </c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</row>
    <row r="66" ht="15.75" customHeight="1">
      <c r="A66" s="3" t="s">
        <v>10</v>
      </c>
      <c r="B66" s="54">
        <v>0.11406958741885542</v>
      </c>
      <c r="C66" s="54">
        <f t="shared" si="14"/>
        <v>0.5795135399</v>
      </c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</row>
    <row r="67" ht="15.75" customHeight="1">
      <c r="A67" s="2" t="s">
        <v>11</v>
      </c>
      <c r="B67" s="54">
        <v>0.1126721351549556</v>
      </c>
      <c r="C67" s="54">
        <f t="shared" si="14"/>
        <v>0.6921856751</v>
      </c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</row>
    <row r="68" ht="15.75" customHeight="1">
      <c r="A68" s="2" t="s">
        <v>8</v>
      </c>
      <c r="B68" s="54">
        <v>0.08043295216883505</v>
      </c>
      <c r="C68" s="54">
        <f t="shared" si="14"/>
        <v>0.7726186273</v>
      </c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</row>
    <row r="69" ht="15.75" customHeight="1">
      <c r="A69" s="2" t="s">
        <v>5</v>
      </c>
      <c r="B69" s="54">
        <v>0.0712741396637423</v>
      </c>
      <c r="C69" s="54">
        <f t="shared" si="14"/>
        <v>0.8438927669</v>
      </c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</row>
    <row r="70" ht="15.75" customHeight="1">
      <c r="A70" s="2" t="s">
        <v>6</v>
      </c>
      <c r="B70" s="54">
        <v>0.06262867696987805</v>
      </c>
      <c r="C70" s="54">
        <f t="shared" si="14"/>
        <v>0.9065214439</v>
      </c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 ht="15.75" customHeight="1">
      <c r="A71" s="2" t="s">
        <v>7</v>
      </c>
      <c r="B71" s="54">
        <v>0.049957899883206126</v>
      </c>
      <c r="C71" s="54">
        <f t="shared" si="14"/>
        <v>0.9564793438</v>
      </c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</row>
    <row r="72" ht="15.75" customHeight="1">
      <c r="A72" s="2" t="s">
        <v>9</v>
      </c>
      <c r="B72" s="54">
        <v>0.04352065621859467</v>
      </c>
      <c r="C72" s="54">
        <f t="shared" si="14"/>
        <v>1</v>
      </c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</row>
    <row r="73" ht="15.75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</row>
    <row r="74" ht="15.75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</row>
    <row r="75" ht="15.75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</row>
    <row r="76" ht="15.75" customHeight="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</row>
    <row r="77" ht="15.75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</row>
    <row r="78" ht="15.75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</row>
    <row r="79" ht="15.75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</row>
    <row r="80" ht="15.75" customHeight="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</row>
    <row r="81" ht="15.75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</row>
    <row r="82" ht="15.75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</row>
    <row r="83" ht="15.75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</row>
    <row r="84" ht="15.75" customHeight="1">
      <c r="A84" s="2" t="s">
        <v>3</v>
      </c>
      <c r="B84" s="3" t="s">
        <v>46</v>
      </c>
      <c r="C84" s="2" t="s">
        <v>23</v>
      </c>
      <c r="D84" s="2" t="s">
        <v>47</v>
      </c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</row>
    <row r="85" ht="15.75" customHeight="1">
      <c r="A85" s="4">
        <f>DATE(2023,4,1)</f>
        <v>45017</v>
      </c>
      <c r="B85" s="17">
        <v>48818.0</v>
      </c>
      <c r="C85" s="17">
        <v>34268.399999999994</v>
      </c>
      <c r="D85" s="17">
        <f t="shared" ref="D85:D115" si="15">B85-C85</f>
        <v>14549.6</v>
      </c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</row>
    <row r="86" ht="15.75" customHeight="1">
      <c r="A86" s="4">
        <f>DATE(2023,4,2)</f>
        <v>45018</v>
      </c>
      <c r="B86" s="17">
        <v>36094.0</v>
      </c>
      <c r="C86" s="17">
        <v>15686.0</v>
      </c>
      <c r="D86" s="17">
        <f t="shared" si="15"/>
        <v>20408</v>
      </c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</row>
    <row r="87" ht="15.75" customHeight="1">
      <c r="A87" s="4">
        <f>DATE(2023,4,3)</f>
        <v>45019</v>
      </c>
      <c r="B87" s="17">
        <v>33700.0</v>
      </c>
      <c r="C87" s="17">
        <v>30130.0</v>
      </c>
      <c r="D87" s="17">
        <f t="shared" si="15"/>
        <v>3570</v>
      </c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</row>
    <row r="88" ht="15.75" customHeight="1">
      <c r="A88" s="4">
        <f>DATE(2023,4,4)</f>
        <v>45020</v>
      </c>
      <c r="B88" s="17">
        <v>34998.0</v>
      </c>
      <c r="C88" s="17">
        <v>18106.0</v>
      </c>
      <c r="D88" s="17">
        <f t="shared" si="15"/>
        <v>16892</v>
      </c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</row>
    <row r="89" ht="15.75" customHeight="1">
      <c r="A89" s="4">
        <f>DATE(2023,4,5)</f>
        <v>45021</v>
      </c>
      <c r="B89" s="17">
        <v>38505.0</v>
      </c>
      <c r="C89" s="17">
        <v>4560.0</v>
      </c>
      <c r="D89" s="17">
        <f t="shared" si="15"/>
        <v>33945</v>
      </c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</row>
    <row r="90" ht="15.75" customHeight="1">
      <c r="A90" s="4">
        <f>DATE(2023,4,6)</f>
        <v>45022</v>
      </c>
      <c r="B90" s="17">
        <v>11098.0</v>
      </c>
      <c r="C90" s="17">
        <v>23399.0</v>
      </c>
      <c r="D90" s="17">
        <f t="shared" si="15"/>
        <v>-12301</v>
      </c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</row>
    <row r="91" ht="15.75" customHeight="1">
      <c r="A91" s="4">
        <f>DATE(2023,4,7)</f>
        <v>45023</v>
      </c>
      <c r="B91" s="17">
        <v>12564.0</v>
      </c>
      <c r="C91" s="17">
        <v>14242.5</v>
      </c>
      <c r="D91" s="17">
        <f t="shared" si="15"/>
        <v>-1678.5</v>
      </c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</row>
    <row r="92" ht="15.75" customHeight="1">
      <c r="A92" s="4">
        <f>DATE(2023,4,8)</f>
        <v>45024</v>
      </c>
      <c r="B92" s="17">
        <v>15398.0</v>
      </c>
      <c r="C92" s="17">
        <v>3420.0</v>
      </c>
      <c r="D92" s="17">
        <f t="shared" si="15"/>
        <v>11978</v>
      </c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</row>
    <row r="93" ht="15.75" customHeight="1">
      <c r="A93" s="4">
        <f>DATE(2023,4,9)</f>
        <v>45025</v>
      </c>
      <c r="B93" s="17">
        <v>16642.0</v>
      </c>
      <c r="C93" s="17">
        <v>7605.6</v>
      </c>
      <c r="D93" s="17">
        <f t="shared" si="15"/>
        <v>9036.4</v>
      </c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</row>
    <row r="94" ht="15.75" customHeight="1">
      <c r="A94" s="4">
        <f>DATE(2023,4,10)</f>
        <v>45026</v>
      </c>
      <c r="B94" s="17">
        <v>10688.0</v>
      </c>
      <c r="C94" s="17">
        <v>3420.0</v>
      </c>
      <c r="D94" s="17">
        <f t="shared" si="15"/>
        <v>7268</v>
      </c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</row>
    <row r="95" ht="15.75" customHeight="1">
      <c r="A95" s="4">
        <f>DATE(2023,4,11)</f>
        <v>45027</v>
      </c>
      <c r="B95" s="17">
        <v>10698.0</v>
      </c>
      <c r="C95" s="17">
        <v>3420.0</v>
      </c>
      <c r="D95" s="17">
        <f t="shared" si="15"/>
        <v>7278</v>
      </c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</row>
    <row r="96" ht="15.75" customHeight="1">
      <c r="A96" s="4">
        <f>DATE(2023,4,12)</f>
        <v>45028</v>
      </c>
      <c r="B96" s="17">
        <v>11324.0</v>
      </c>
      <c r="C96" s="17">
        <v>3420.0</v>
      </c>
      <c r="D96" s="17">
        <f t="shared" si="15"/>
        <v>7904</v>
      </c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</row>
    <row r="97" ht="15.75" customHeight="1">
      <c r="A97" s="4">
        <f>DATE(2023,4,13)</f>
        <v>45029</v>
      </c>
      <c r="B97" s="17">
        <v>10090.0</v>
      </c>
      <c r="C97" s="17">
        <v>3420.0</v>
      </c>
      <c r="D97" s="17">
        <f t="shared" si="15"/>
        <v>6670</v>
      </c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</row>
    <row r="98" ht="15.75" customHeight="1">
      <c r="A98" s="4">
        <f>DATE(2023,4,14)</f>
        <v>45030</v>
      </c>
      <c r="B98" s="17">
        <v>15894.0</v>
      </c>
      <c r="C98" s="17">
        <v>54132.8</v>
      </c>
      <c r="D98" s="17">
        <f t="shared" si="15"/>
        <v>-38238.8</v>
      </c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</row>
    <row r="99" ht="15.75" customHeight="1">
      <c r="A99" s="4">
        <f>DATE(2023,4,15)</f>
        <v>45031</v>
      </c>
      <c r="B99" s="17">
        <v>9692.0</v>
      </c>
      <c r="C99" s="17">
        <v>3420.0</v>
      </c>
      <c r="D99" s="17">
        <f t="shared" si="15"/>
        <v>6272</v>
      </c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</row>
    <row r="100" ht="15.75" customHeight="1">
      <c r="A100" s="4">
        <f>DATE(2023,4,16)</f>
        <v>45032</v>
      </c>
      <c r="B100" s="17">
        <v>11341.0</v>
      </c>
      <c r="C100" s="17">
        <v>3135.0</v>
      </c>
      <c r="D100" s="17">
        <f t="shared" si="15"/>
        <v>8206</v>
      </c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</row>
    <row r="101" ht="15.75" customHeight="1">
      <c r="A101" s="4">
        <f>DATE(2023,4,17)</f>
        <v>45033</v>
      </c>
      <c r="B101" s="17">
        <v>8093.0</v>
      </c>
      <c r="C101" s="17">
        <v>3082.75</v>
      </c>
      <c r="D101" s="17">
        <f t="shared" si="15"/>
        <v>5010.25</v>
      </c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</row>
    <row r="102" ht="15.75" customHeight="1">
      <c r="A102" s="4">
        <f>DATE(2023,4,18)</f>
        <v>45034</v>
      </c>
      <c r="B102" s="17">
        <v>8107.0</v>
      </c>
      <c r="C102" s="17">
        <v>3082.75</v>
      </c>
      <c r="D102" s="17">
        <f t="shared" si="15"/>
        <v>5024.25</v>
      </c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</row>
    <row r="103" ht="15.75" customHeight="1">
      <c r="A103" s="4">
        <f>DATE(2023,4,19)</f>
        <v>45035</v>
      </c>
      <c r="B103" s="17">
        <v>8778.0</v>
      </c>
      <c r="C103" s="17">
        <v>38921.149999999994</v>
      </c>
      <c r="D103" s="17">
        <f t="shared" si="15"/>
        <v>-30143.15</v>
      </c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</row>
    <row r="104" ht="15.75" customHeight="1">
      <c r="A104" s="4">
        <f>DATE(2023,4,20)</f>
        <v>45036</v>
      </c>
      <c r="B104" s="17">
        <v>11315.0</v>
      </c>
      <c r="C104" s="17">
        <v>77021.95</v>
      </c>
      <c r="D104" s="17">
        <f t="shared" si="15"/>
        <v>-65706.95</v>
      </c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</row>
    <row r="105" ht="15.75" customHeight="1">
      <c r="A105" s="4">
        <f>DATE(2023,4,21)</f>
        <v>45037</v>
      </c>
      <c r="B105" s="17">
        <v>12454.0</v>
      </c>
      <c r="C105" s="17">
        <v>73815.4</v>
      </c>
      <c r="D105" s="17">
        <f t="shared" si="15"/>
        <v>-61361.4</v>
      </c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</row>
    <row r="106" ht="15.75" customHeight="1">
      <c r="A106" s="4">
        <f>DATE(2023,4,22)</f>
        <v>45038</v>
      </c>
      <c r="B106" s="17">
        <v>58064.0</v>
      </c>
      <c r="C106" s="17">
        <v>5130.0</v>
      </c>
      <c r="D106" s="17">
        <f t="shared" si="15"/>
        <v>52934</v>
      </c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</row>
    <row r="107" ht="15.75" customHeight="1">
      <c r="A107" s="4">
        <f>DATE(2023,4,23)</f>
        <v>45039</v>
      </c>
      <c r="B107" s="17">
        <v>63028.0</v>
      </c>
      <c r="C107" s="17">
        <v>5130.0</v>
      </c>
      <c r="D107" s="17">
        <f t="shared" si="15"/>
        <v>57898</v>
      </c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</row>
    <row r="108" ht="15.75" customHeight="1">
      <c r="A108" s="4">
        <f>DATE(2023,4,24)</f>
        <v>45040</v>
      </c>
      <c r="B108" s="17">
        <v>54703.0</v>
      </c>
      <c r="C108" s="17">
        <v>67671.0</v>
      </c>
      <c r="D108" s="17">
        <f t="shared" si="15"/>
        <v>-12968</v>
      </c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</row>
    <row r="109" ht="15.75" customHeight="1">
      <c r="A109" s="4">
        <f>DATE(2023,4,25)</f>
        <v>45041</v>
      </c>
      <c r="B109" s="17">
        <v>45230.0</v>
      </c>
      <c r="C109" s="17">
        <v>5700.0</v>
      </c>
      <c r="D109" s="17">
        <f t="shared" si="15"/>
        <v>39530</v>
      </c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</row>
    <row r="110" ht="15.75" customHeight="1">
      <c r="A110" s="4">
        <f>DATE(2023,4,26)</f>
        <v>45042</v>
      </c>
      <c r="B110" s="17">
        <v>12554.0</v>
      </c>
      <c r="C110" s="17">
        <v>3420.0</v>
      </c>
      <c r="D110" s="17">
        <f t="shared" si="15"/>
        <v>9134</v>
      </c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</row>
    <row r="111" ht="15.75" customHeight="1">
      <c r="A111" s="4">
        <f>DATE(2023,4,27)</f>
        <v>45043</v>
      </c>
      <c r="B111" s="17">
        <v>24244.0</v>
      </c>
      <c r="C111" s="17">
        <v>40802.2</v>
      </c>
      <c r="D111" s="17">
        <f t="shared" si="15"/>
        <v>-16558.2</v>
      </c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</row>
    <row r="112" ht="15.75" customHeight="1">
      <c r="A112" s="4">
        <f>DATE(2023,4,28)</f>
        <v>45044</v>
      </c>
      <c r="B112" s="17">
        <v>38310.0</v>
      </c>
      <c r="C112" s="17">
        <v>25064.2</v>
      </c>
      <c r="D112" s="17">
        <f t="shared" si="15"/>
        <v>13245.8</v>
      </c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</row>
    <row r="113" ht="15.75" customHeight="1">
      <c r="A113" s="4">
        <f>DATE(2023,4,29)</f>
        <v>45045</v>
      </c>
      <c r="B113" s="17">
        <v>23654.0</v>
      </c>
      <c r="C113" s="17">
        <v>3135.0</v>
      </c>
      <c r="D113" s="17">
        <f t="shared" si="15"/>
        <v>20519</v>
      </c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</row>
    <row r="114" ht="15.75" customHeight="1">
      <c r="A114" s="4">
        <f>DATE(2023,4,30)</f>
        <v>45046</v>
      </c>
      <c r="B114" s="17">
        <v>20508.0</v>
      </c>
      <c r="C114" s="17">
        <v>3135.0</v>
      </c>
      <c r="D114" s="17">
        <f t="shared" si="15"/>
        <v>17373</v>
      </c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</row>
    <row r="115" ht="15.75" customHeight="1">
      <c r="A115" s="4">
        <f>DATE(2023,4,31)</f>
        <v>45047</v>
      </c>
      <c r="B115" s="17">
        <v>19754.0</v>
      </c>
      <c r="C115" s="17">
        <v>3135.0</v>
      </c>
      <c r="D115" s="17">
        <f t="shared" si="15"/>
        <v>16619</v>
      </c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</row>
    <row r="116" ht="15.75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</row>
    <row r="117" ht="15.7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</row>
    <row r="118" ht="15.75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</row>
    <row r="119" ht="15.7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</row>
    <row r="120" ht="15.7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</row>
    <row r="121" ht="15.7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</row>
    <row r="122" ht="15.75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</row>
    <row r="123" ht="15.7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</row>
    <row r="124" ht="15.75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</row>
    <row r="125" ht="15.7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</row>
    <row r="126" ht="15.7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</row>
    <row r="127" ht="15.7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</row>
    <row r="128" ht="15.7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</row>
    <row r="129" ht="15.7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</row>
    <row r="130" ht="15.7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</row>
    <row r="131" ht="15.7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</row>
    <row r="132" ht="15.75" customHeight="1"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</row>
    <row r="133" ht="15.75" customHeight="1"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</row>
    <row r="134" ht="15.75" customHeight="1"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</row>
    <row r="135" ht="15.75" customHeight="1"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</row>
    <row r="136" ht="15.75" customHeight="1"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</row>
    <row r="137" ht="15.7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</row>
    <row r="138" ht="15.7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</row>
    <row r="139" ht="15.7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</row>
    <row r="140" ht="15.7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</row>
    <row r="141" ht="15.7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</row>
    <row r="142" ht="15.7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</row>
    <row r="143" ht="15.7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</row>
    <row r="144" ht="15.7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</row>
    <row r="145" ht="15.7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</row>
    <row r="146" ht="15.7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</row>
    <row r="147" ht="15.7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</row>
    <row r="148" ht="15.7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</row>
    <row r="149" ht="15.7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</row>
    <row r="150" ht="15.7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</row>
    <row r="151" ht="15.7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</row>
    <row r="152" ht="15.7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</row>
    <row r="153" ht="15.7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</row>
    <row r="154" ht="15.7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</row>
    <row r="155" ht="15.7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</row>
    <row r="156" ht="15.7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</row>
    <row r="157" ht="15.7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</row>
    <row r="158" ht="15.7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</row>
    <row r="159" ht="15.7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</row>
    <row r="160" ht="15.7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</row>
    <row r="161" ht="15.7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</row>
    <row r="162" ht="15.7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</row>
    <row r="163" ht="15.7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</row>
    <row r="164" ht="15.7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</row>
    <row r="165" ht="15.7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</row>
    <row r="166" ht="15.7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</row>
    <row r="167" ht="15.7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</row>
    <row r="168" ht="15.7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</row>
    <row r="169" ht="15.7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</row>
    <row r="170" ht="15.7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</row>
    <row r="171" ht="15.7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</row>
    <row r="172" ht="15.7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</row>
    <row r="173" ht="15.7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</row>
    <row r="174" ht="15.7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</row>
    <row r="175" ht="15.7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</row>
    <row r="176" ht="15.7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</row>
    <row r="177" ht="15.7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</row>
    <row r="178" ht="15.7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</row>
    <row r="179" ht="15.7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</row>
    <row r="180" ht="15.7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</row>
    <row r="181" ht="15.7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</row>
    <row r="182" ht="15.7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</row>
    <row r="183" ht="15.7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</row>
    <row r="184" ht="15.7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</row>
    <row r="185" ht="15.7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</row>
    <row r="186" ht="15.7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</row>
    <row r="187" ht="15.7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</row>
    <row r="188" ht="15.7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</row>
    <row r="189" ht="15.7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</row>
    <row r="190" ht="15.7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</row>
    <row r="191" ht="15.7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</row>
    <row r="192" ht="15.7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</row>
    <row r="193" ht="15.7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</row>
    <row r="194" ht="15.7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</row>
    <row r="195" ht="15.7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</row>
    <row r="196" ht="15.7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</row>
    <row r="197" ht="15.7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</row>
    <row r="198" ht="15.7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</row>
    <row r="199" ht="15.7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</row>
    <row r="200" ht="15.7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</row>
    <row r="201" ht="15.7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</row>
    <row r="202" ht="15.7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</row>
    <row r="203" ht="15.7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</row>
    <row r="204" ht="15.7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</row>
    <row r="205" ht="15.7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</row>
    <row r="206" ht="15.7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</row>
    <row r="207" ht="15.7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</row>
    <row r="208" ht="15.7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</row>
    <row r="209" ht="15.7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</row>
    <row r="210" ht="15.7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</row>
    <row r="211" ht="15.7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</row>
    <row r="212" ht="15.7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</row>
    <row r="213" ht="15.7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</row>
    <row r="214" ht="15.7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</row>
    <row r="215" ht="15.7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</row>
    <row r="216" ht="15.7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</row>
    <row r="217" ht="15.7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</row>
    <row r="218" ht="15.7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</row>
    <row r="219" ht="15.7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</row>
    <row r="220" ht="15.7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</row>
    <row r="221" ht="15.75" customHeight="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</row>
    <row r="222" ht="15.75" customHeight="1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</row>
    <row r="223" ht="15.75" customHeight="1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</row>
    <row r="224" ht="15.75" customHeight="1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</row>
    <row r="225" ht="15.75" customHeight="1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</row>
    <row r="226" ht="15.75" customHeight="1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</row>
    <row r="227" ht="15.75" customHeight="1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</row>
    <row r="228" ht="15.75" customHeight="1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</row>
    <row r="229" ht="15.75" customHeight="1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</row>
    <row r="230" ht="15.75" customHeight="1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</row>
    <row r="231" ht="15.75" customHeight="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</row>
    <row r="232" ht="15.75" customHeight="1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</row>
    <row r="233" ht="15.75" customHeight="1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</row>
    <row r="234" ht="15.75" customHeight="1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</row>
    <row r="235" ht="15.75" customHeight="1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</row>
    <row r="236" ht="15.75" customHeight="1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</row>
    <row r="237" ht="15.75" customHeight="1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</row>
    <row r="238" ht="15.75" customHeight="1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</row>
    <row r="239" ht="15.75" customHeight="1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</row>
    <row r="240" ht="15.75" customHeight="1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</row>
    <row r="241" ht="15.75" customHeight="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</row>
    <row r="242" ht="15.75" customHeight="1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</row>
    <row r="243" ht="15.75" customHeight="1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</row>
    <row r="244" ht="15.75" customHeight="1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</row>
    <row r="245" ht="15.75" customHeight="1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</row>
    <row r="246" ht="15.75" customHeight="1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</row>
    <row r="247" ht="15.75" customHeight="1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</row>
    <row r="248" ht="15.75" customHeight="1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</row>
    <row r="249" ht="15.75" customHeight="1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</row>
    <row r="250" ht="15.75" customHeight="1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</row>
    <row r="251" ht="15.75" customHeight="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</row>
    <row r="252" ht="15.75" customHeight="1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</row>
    <row r="253" ht="15.75" customHeight="1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</row>
    <row r="254" ht="15.75" customHeight="1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</row>
    <row r="255" ht="15.75" customHeight="1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</row>
    <row r="256" ht="15.75" customHeight="1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</row>
    <row r="257" ht="15.75" customHeight="1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</row>
    <row r="258" ht="15.75" customHeight="1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</row>
    <row r="259" ht="15.75" customHeight="1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</row>
    <row r="260" ht="15.75" customHeight="1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</row>
    <row r="261" ht="15.75" customHeight="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</row>
    <row r="262" ht="15.75" customHeight="1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</row>
    <row r="263" ht="15.75" customHeight="1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</row>
    <row r="264" ht="15.75" customHeight="1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</row>
    <row r="265" ht="15.75" customHeight="1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</row>
    <row r="266" ht="15.75" customHeight="1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</row>
    <row r="267" ht="15.75" customHeight="1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</row>
    <row r="268" ht="15.75" customHeight="1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</row>
    <row r="269" ht="15.75" customHeight="1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</row>
    <row r="270" ht="15.75" customHeight="1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</row>
    <row r="271" ht="15.75" customHeight="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</row>
    <row r="272" ht="15.75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</row>
    <row r="273" ht="15.75" customHeight="1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</row>
    <row r="274" ht="15.75" customHeight="1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</row>
    <row r="275" ht="15.75" customHeight="1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</row>
    <row r="276" ht="15.75" customHeight="1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</row>
    <row r="277" ht="15.75" customHeight="1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</row>
    <row r="278" ht="15.75" customHeight="1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</row>
    <row r="279" ht="15.75" customHeight="1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</row>
    <row r="280" ht="15.75" customHeight="1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</row>
    <row r="281" ht="15.75" customHeight="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</row>
    <row r="282" ht="15.75" customHeight="1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</row>
    <row r="283" ht="15.75" customHeight="1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</row>
    <row r="284" ht="15.75" customHeight="1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</row>
    <row r="285" ht="15.75" customHeight="1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</row>
    <row r="286" ht="15.75" customHeight="1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</row>
    <row r="287" ht="15.75" customHeight="1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</row>
    <row r="288" ht="15.75" customHeight="1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</row>
    <row r="289" ht="15.75" customHeight="1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</row>
    <row r="290" ht="15.75" customHeight="1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</row>
    <row r="291" ht="15.75" customHeight="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</row>
    <row r="292" ht="15.75" customHeight="1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</row>
    <row r="293" ht="15.75" customHeight="1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</row>
    <row r="294" ht="15.75" customHeight="1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</row>
    <row r="295" ht="15.75" customHeight="1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</row>
    <row r="296" ht="15.75" customHeight="1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</row>
    <row r="297" ht="15.75" customHeight="1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</row>
    <row r="298" ht="15.75" customHeight="1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</row>
    <row r="299" ht="15.75" customHeight="1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</row>
    <row r="300" ht="15.75" customHeight="1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</row>
    <row r="301" ht="15.75" customHeight="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</row>
    <row r="302" ht="15.75" customHeight="1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</row>
    <row r="303" ht="15.75" customHeight="1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</row>
    <row r="304" ht="15.75" customHeight="1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</row>
    <row r="305" ht="15.75" customHeight="1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</row>
    <row r="306" ht="15.75" customHeight="1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</row>
    <row r="307" ht="15.75" customHeight="1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</row>
    <row r="308" ht="15.75" customHeight="1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</row>
    <row r="309" ht="15.75" customHeight="1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</row>
    <row r="310" ht="15.75" customHeight="1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</row>
    <row r="311" ht="15.75" customHeight="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</row>
    <row r="312" ht="15.75" customHeight="1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</row>
    <row r="313" ht="15.75" customHeight="1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</row>
    <row r="314" ht="15.75" customHeight="1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</row>
    <row r="315" ht="15.75" customHeight="1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</row>
    <row r="316" ht="15.75" customHeight="1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</row>
    <row r="317" ht="15.75" customHeight="1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</row>
    <row r="318" ht="15.75" customHeight="1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</row>
    <row r="319" ht="15.75" customHeight="1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</row>
    <row r="320" ht="15.75" customHeight="1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</row>
    <row r="321" ht="15.75" customHeight="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</row>
    <row r="322" ht="15.75" customHeight="1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</row>
    <row r="323" ht="15.75" customHeight="1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</row>
    <row r="324" ht="15.75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</row>
    <row r="325" ht="15.75" customHeight="1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</row>
    <row r="326" ht="15.75" customHeight="1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</row>
    <row r="327" ht="15.75" customHeight="1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</row>
    <row r="328" ht="15.75" customHeight="1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</row>
    <row r="329" ht="15.75" customHeight="1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</row>
    <row r="330" ht="15.75" customHeight="1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</row>
    <row r="331" ht="15.75" customHeight="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</row>
    <row r="332" ht="15.75" customHeight="1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</row>
    <row r="333" ht="15.75" customHeight="1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</row>
    <row r="334" ht="15.75" customHeight="1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</row>
    <row r="335" ht="15.75" customHeight="1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</row>
    <row r="336" ht="15.75" customHeight="1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</row>
    <row r="337" ht="15.75" customHeight="1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</row>
    <row r="338" ht="15.75" customHeight="1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</row>
    <row r="339" ht="15.75" customHeight="1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</row>
    <row r="340" ht="15.75" customHeight="1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</row>
    <row r="341" ht="15.75" customHeight="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</row>
    <row r="342" ht="15.75" customHeight="1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</row>
    <row r="343" ht="15.75" customHeight="1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</row>
    <row r="344" ht="15.75" customHeight="1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</row>
    <row r="345" ht="15.75" customHeight="1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</row>
    <row r="346" ht="15.75" customHeight="1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</row>
    <row r="347" ht="15.75" customHeight="1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</row>
    <row r="348" ht="15.75" customHeight="1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</row>
    <row r="349" ht="15.75" customHeight="1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</row>
    <row r="350" ht="15.75" customHeight="1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</row>
    <row r="351" ht="15.75" customHeight="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</row>
    <row r="352" ht="15.75" customHeight="1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</row>
    <row r="353" ht="15.75" customHeight="1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</row>
    <row r="354" ht="15.75" customHeight="1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</row>
    <row r="355" ht="15.75" customHeight="1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</row>
    <row r="356" ht="15.75" customHeight="1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</row>
    <row r="357" ht="15.75" customHeight="1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</row>
    <row r="358" ht="15.75" customHeight="1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</row>
    <row r="359" ht="15.75" customHeight="1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</row>
    <row r="360" ht="15.75" customHeight="1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</row>
    <row r="361" ht="15.75" customHeight="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</row>
    <row r="362" ht="15.75" customHeight="1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</row>
    <row r="363" ht="15.75" customHeight="1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</row>
    <row r="364" ht="15.75" customHeight="1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</row>
    <row r="365" ht="15.75" customHeight="1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</row>
    <row r="366" ht="15.75" customHeight="1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</row>
    <row r="367" ht="15.75" customHeight="1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</row>
    <row r="368" ht="15.75" customHeight="1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</row>
    <row r="369" ht="15.75" customHeight="1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</row>
    <row r="370" ht="15.75" customHeight="1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</row>
    <row r="371" ht="15.75" customHeight="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</row>
    <row r="372" ht="15.75" customHeight="1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</row>
    <row r="373" ht="15.75" customHeight="1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</row>
    <row r="374" ht="15.75" customHeight="1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</row>
    <row r="375" ht="15.75" customHeight="1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</row>
    <row r="376" ht="15.75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</row>
    <row r="377" ht="15.75" customHeight="1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</row>
    <row r="378" ht="15.75" customHeight="1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</row>
    <row r="379" ht="15.75" customHeight="1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</row>
    <row r="380" ht="15.75" customHeight="1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</row>
    <row r="381" ht="15.75" customHeight="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</row>
    <row r="382" ht="15.75" customHeight="1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</row>
    <row r="383" ht="15.75" customHeight="1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</row>
    <row r="384" ht="15.75" customHeight="1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</row>
    <row r="385" ht="15.75" customHeight="1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</row>
    <row r="386" ht="15.75" customHeight="1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</row>
    <row r="387" ht="15.75" customHeight="1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</row>
    <row r="388" ht="15.75" customHeight="1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</row>
    <row r="389" ht="15.75" customHeight="1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</row>
    <row r="390" ht="15.75" customHeight="1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</row>
    <row r="391" ht="15.75" customHeight="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</row>
    <row r="392" ht="15.75" customHeight="1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</row>
    <row r="393" ht="15.75" customHeight="1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</row>
    <row r="394" ht="15.75" customHeight="1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</row>
    <row r="395" ht="15.75" customHeight="1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</row>
    <row r="396" ht="15.75" customHeight="1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</row>
    <row r="397" ht="15.75" customHeight="1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</row>
    <row r="398" ht="15.75" customHeight="1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</row>
    <row r="399" ht="15.75" customHeight="1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</row>
    <row r="400" ht="15.75" customHeight="1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</row>
    <row r="401" ht="15.75" customHeight="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</row>
    <row r="402" ht="15.75" customHeight="1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</row>
    <row r="403" ht="15.75" customHeight="1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</row>
    <row r="404" ht="15.75" customHeight="1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</row>
    <row r="405" ht="15.75" customHeight="1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</row>
    <row r="406" ht="15.75" customHeight="1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</row>
    <row r="407" ht="15.75" customHeight="1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</row>
    <row r="408" ht="15.75" customHeight="1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</row>
    <row r="409" ht="15.75" customHeight="1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</row>
    <row r="410" ht="15.75" customHeight="1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</row>
    <row r="411" ht="15.75" customHeight="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</row>
    <row r="412" ht="15.75" customHeight="1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</row>
    <row r="413" ht="15.75" customHeight="1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</row>
    <row r="414" ht="15.75" customHeight="1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</row>
    <row r="415" ht="15.75" customHeight="1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</row>
    <row r="416" ht="15.75" customHeight="1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</row>
    <row r="417" ht="15.75" customHeight="1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</row>
    <row r="418" ht="15.75" customHeight="1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</row>
    <row r="419" ht="15.75" customHeight="1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</row>
    <row r="420" ht="15.75" customHeight="1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</row>
    <row r="421" ht="15.75" customHeight="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</row>
    <row r="422" ht="15.75" customHeight="1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</row>
    <row r="423" ht="15.75" customHeight="1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</row>
    <row r="424" ht="15.75" customHeight="1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</row>
    <row r="425" ht="15.75" customHeight="1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</row>
    <row r="426" ht="15.75" customHeight="1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</row>
    <row r="427" ht="15.75" customHeight="1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</row>
    <row r="428" ht="15.75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</row>
    <row r="429" ht="15.75" customHeight="1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</row>
    <row r="430" ht="15.75" customHeight="1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</row>
    <row r="431" ht="15.75" customHeight="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</row>
    <row r="432" ht="15.75" customHeight="1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</row>
    <row r="433" ht="15.75" customHeight="1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</row>
    <row r="434" ht="15.75" customHeight="1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</row>
    <row r="435" ht="15.75" customHeight="1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</row>
    <row r="436" ht="15.75" customHeight="1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</row>
    <row r="437" ht="15.75" customHeight="1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</row>
    <row r="438" ht="15.75" customHeight="1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</row>
    <row r="439" ht="15.75" customHeight="1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</row>
    <row r="440" ht="15.75" customHeight="1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</row>
    <row r="441" ht="15.75" customHeight="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</row>
    <row r="442" ht="15.75" customHeight="1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</row>
    <row r="443" ht="15.75" customHeight="1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</row>
    <row r="444" ht="15.75" customHeight="1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</row>
    <row r="445" ht="15.75" customHeight="1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</row>
    <row r="446" ht="15.75" customHeight="1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</row>
    <row r="447" ht="15.75" customHeight="1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</row>
    <row r="448" ht="15.75" customHeight="1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</row>
    <row r="449" ht="15.75" customHeight="1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</row>
    <row r="450" ht="15.75" customHeight="1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</row>
    <row r="451" ht="15.75" customHeight="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</row>
    <row r="452" ht="15.75" customHeight="1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</row>
    <row r="453" ht="15.75" customHeight="1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</row>
    <row r="454" ht="15.75" customHeight="1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</row>
    <row r="455" ht="15.75" customHeight="1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</row>
    <row r="456" ht="15.75" customHeight="1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</row>
    <row r="457" ht="15.75" customHeight="1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</row>
    <row r="458" ht="15.75" customHeight="1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</row>
    <row r="459" ht="15.75" customHeight="1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</row>
    <row r="460" ht="15.75" customHeight="1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</row>
    <row r="461" ht="15.75" customHeight="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</row>
    <row r="462" ht="15.75" customHeight="1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</row>
    <row r="463" ht="15.75" customHeight="1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</row>
    <row r="464" ht="15.75" customHeight="1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</row>
    <row r="465" ht="15.75" customHeight="1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</row>
    <row r="466" ht="15.75" customHeight="1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</row>
    <row r="467" ht="15.75" customHeight="1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</row>
    <row r="468" ht="15.75" customHeight="1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</row>
    <row r="469" ht="15.75" customHeight="1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</row>
    <row r="470" ht="15.75" customHeight="1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</row>
    <row r="471" ht="15.75" customHeight="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</row>
    <row r="472" ht="15.75" customHeight="1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</row>
    <row r="473" ht="15.75" customHeight="1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</row>
    <row r="474" ht="15.75" customHeight="1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</row>
    <row r="475" ht="15.75" customHeight="1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</row>
    <row r="476" ht="15.75" customHeight="1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</row>
    <row r="477" ht="15.75" customHeight="1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</row>
    <row r="478" ht="15.75" customHeight="1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</row>
    <row r="479" ht="15.75" customHeight="1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</row>
    <row r="480" ht="15.75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</row>
    <row r="481" ht="15.75" customHeight="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</row>
    <row r="482" ht="15.75" customHeight="1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</row>
    <row r="483" ht="15.75" customHeight="1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</row>
    <row r="484" ht="15.75" customHeight="1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</row>
    <row r="485" ht="15.75" customHeight="1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</row>
    <row r="486" ht="15.75" customHeight="1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</row>
    <row r="487" ht="15.75" customHeight="1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</row>
    <row r="488" ht="15.75" customHeight="1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</row>
    <row r="489" ht="15.75" customHeight="1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</row>
    <row r="490" ht="15.75" customHeight="1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</row>
    <row r="491" ht="15.75" customHeight="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</row>
    <row r="492" ht="15.75" customHeight="1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</row>
    <row r="493" ht="15.75" customHeight="1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</row>
    <row r="494" ht="15.75" customHeight="1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</row>
    <row r="495" ht="15.75" customHeight="1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</row>
    <row r="496" ht="15.75" customHeight="1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</row>
    <row r="497" ht="15.75" customHeight="1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</row>
    <row r="498" ht="15.75" customHeight="1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</row>
    <row r="499" ht="15.75" customHeight="1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</row>
    <row r="500" ht="15.75" customHeight="1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</row>
    <row r="501" ht="15.75" customHeight="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</row>
    <row r="502" ht="15.75" customHeight="1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</row>
    <row r="503" ht="15.75" customHeight="1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</row>
    <row r="504" ht="15.75" customHeight="1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</row>
    <row r="505" ht="15.75" customHeight="1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</row>
    <row r="506" ht="15.75" customHeight="1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</row>
    <row r="507" ht="15.75" customHeight="1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</row>
    <row r="508" ht="15.75" customHeight="1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</row>
    <row r="509" ht="15.75" customHeight="1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</row>
    <row r="510" ht="15.75" customHeight="1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</row>
    <row r="511" ht="15.75" customHeight="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</row>
    <row r="512" ht="15.75" customHeight="1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</row>
    <row r="513" ht="15.75" customHeight="1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</row>
    <row r="514" ht="15.75" customHeight="1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</row>
    <row r="515" ht="15.75" customHeight="1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</row>
    <row r="516" ht="15.75" customHeight="1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</row>
    <row r="517" ht="15.75" customHeight="1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</row>
    <row r="518" ht="15.75" customHeight="1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</row>
    <row r="519" ht="15.75" customHeight="1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</row>
    <row r="520" ht="15.75" customHeight="1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</row>
    <row r="521" ht="15.75" customHeight="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</row>
    <row r="522" ht="15.75" customHeight="1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</row>
    <row r="523" ht="15.75" customHeight="1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</row>
    <row r="524" ht="15.75" customHeight="1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</row>
    <row r="525" ht="15.75" customHeight="1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</row>
    <row r="526" ht="15.75" customHeight="1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</row>
    <row r="527" ht="15.75" customHeight="1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</row>
    <row r="528" ht="15.75" customHeight="1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</row>
    <row r="529" ht="15.75" customHeight="1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</row>
    <row r="530" ht="15.75" customHeight="1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</row>
    <row r="531" ht="15.75" customHeight="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</row>
    <row r="532" ht="15.75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</row>
    <row r="533" ht="15.75" customHeight="1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</row>
    <row r="534" ht="15.75" customHeight="1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</row>
    <row r="535" ht="15.75" customHeight="1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</row>
    <row r="536" ht="15.75" customHeight="1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</row>
    <row r="537" ht="15.75" customHeight="1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</row>
    <row r="538" ht="15.75" customHeight="1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</row>
    <row r="539" ht="15.75" customHeight="1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</row>
    <row r="540" ht="15.75" customHeight="1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</row>
    <row r="541" ht="15.75" customHeight="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</row>
    <row r="542" ht="15.75" customHeight="1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</row>
    <row r="543" ht="15.75" customHeight="1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</row>
    <row r="544" ht="15.75" customHeight="1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</row>
    <row r="545" ht="15.75" customHeight="1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</row>
    <row r="546" ht="15.75" customHeight="1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</row>
    <row r="547" ht="15.75" customHeight="1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</row>
    <row r="548" ht="15.75" customHeight="1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</row>
    <row r="549" ht="15.75" customHeight="1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</row>
    <row r="550" ht="15.75" customHeight="1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</row>
    <row r="551" ht="15.75" customHeight="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</row>
    <row r="552" ht="15.75" customHeight="1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</row>
    <row r="553" ht="15.75" customHeight="1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</row>
    <row r="554" ht="15.75" customHeight="1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</row>
    <row r="555" ht="15.75" customHeight="1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</row>
    <row r="556" ht="15.75" customHeight="1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</row>
    <row r="557" ht="15.75" customHeight="1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</row>
    <row r="558" ht="15.75" customHeight="1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</row>
    <row r="559" ht="15.75" customHeight="1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</row>
    <row r="560" ht="15.75" customHeight="1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</row>
    <row r="561" ht="15.75" customHeight="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</row>
    <row r="562" ht="15.75" customHeight="1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</row>
    <row r="563" ht="15.75" customHeight="1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</row>
    <row r="564" ht="15.75" customHeight="1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</row>
    <row r="565" ht="15.75" customHeight="1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</row>
    <row r="566" ht="15.75" customHeight="1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</row>
    <row r="567" ht="15.75" customHeight="1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</row>
    <row r="568" ht="15.75" customHeight="1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</row>
    <row r="569" ht="15.75" customHeight="1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</row>
    <row r="570" ht="15.75" customHeight="1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</row>
    <row r="571" ht="15.75" customHeight="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</row>
    <row r="572" ht="15.75" customHeight="1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</row>
    <row r="573" ht="15.75" customHeight="1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</row>
    <row r="574" ht="15.75" customHeight="1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</row>
    <row r="575" ht="15.75" customHeight="1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</row>
    <row r="576" ht="15.75" customHeight="1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</row>
    <row r="577" ht="15.75" customHeight="1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</row>
    <row r="578" ht="15.75" customHeight="1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</row>
    <row r="579" ht="15.75" customHeight="1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</row>
    <row r="580" ht="15.75" customHeight="1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</row>
    <row r="581" ht="15.75" customHeight="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</row>
    <row r="582" ht="15.75" customHeight="1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</row>
    <row r="583" ht="15.75" customHeight="1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</row>
    <row r="584" ht="15.75" customHeight="1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</row>
    <row r="585" ht="15.75" customHeight="1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</row>
    <row r="586" ht="15.75" customHeight="1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</row>
    <row r="587" ht="15.75" customHeight="1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</row>
    <row r="588" ht="15.75" customHeight="1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</row>
    <row r="589" ht="15.75" customHeight="1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</row>
    <row r="590" ht="15.75" customHeight="1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</row>
    <row r="591" ht="15.75" customHeight="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</row>
    <row r="592" ht="15.75" customHeight="1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</row>
    <row r="593" ht="15.75" customHeight="1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</row>
    <row r="594" ht="15.75" customHeight="1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</row>
    <row r="595" ht="15.75" customHeight="1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</row>
    <row r="596" ht="15.75" customHeight="1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</row>
    <row r="597" ht="15.75" customHeight="1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</row>
    <row r="598" ht="15.75" customHeight="1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</row>
    <row r="599" ht="15.75" customHeight="1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</row>
    <row r="600" ht="15.75" customHeight="1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</row>
    <row r="601" ht="15.75" customHeight="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</row>
    <row r="602" ht="15.75" customHeight="1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</row>
    <row r="603" ht="15.75" customHeight="1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</row>
    <row r="604" ht="15.75" customHeight="1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</row>
    <row r="605" ht="15.75" customHeight="1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</row>
    <row r="606" ht="15.75" customHeight="1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</row>
    <row r="607" ht="15.75" customHeight="1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</row>
    <row r="608" ht="15.75" customHeight="1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</row>
    <row r="609" ht="15.75" customHeight="1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</row>
    <row r="610" ht="15.75" customHeight="1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</row>
    <row r="611" ht="15.75" customHeight="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</row>
    <row r="612" ht="15.75" customHeight="1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</row>
    <row r="613" ht="15.75" customHeight="1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</row>
    <row r="614" ht="15.75" customHeight="1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</row>
    <row r="615" ht="15.75" customHeight="1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</row>
    <row r="616" ht="15.75" customHeight="1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</row>
    <row r="617" ht="15.75" customHeight="1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</row>
    <row r="618" ht="15.75" customHeight="1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</row>
    <row r="619" ht="15.75" customHeight="1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</row>
    <row r="620" ht="15.75" customHeight="1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</row>
    <row r="621" ht="15.75" customHeight="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</row>
    <row r="622" ht="15.75" customHeight="1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</row>
    <row r="623" ht="15.75" customHeight="1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</row>
    <row r="624" ht="15.75" customHeight="1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</row>
    <row r="625" ht="15.75" customHeight="1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</row>
    <row r="626" ht="15.75" customHeight="1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</row>
    <row r="627" ht="15.75" customHeight="1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</row>
    <row r="628" ht="15.75" customHeight="1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</row>
    <row r="629" ht="15.75" customHeight="1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</row>
    <row r="630" ht="15.75" customHeight="1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</row>
    <row r="631" ht="15.75" customHeight="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</row>
    <row r="632" ht="15.75" customHeight="1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</row>
    <row r="633" ht="15.75" customHeight="1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</row>
    <row r="634" ht="15.75" customHeight="1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</row>
    <row r="635" ht="15.75" customHeight="1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</row>
    <row r="636" ht="15.75" customHeight="1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</row>
    <row r="637" ht="15.75" customHeight="1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</row>
    <row r="638" ht="15.75" customHeight="1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</row>
    <row r="639" ht="15.75" customHeight="1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</row>
    <row r="640" ht="15.75" customHeight="1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</row>
    <row r="641" ht="15.75" customHeight="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</row>
    <row r="642" ht="15.75" customHeight="1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</row>
    <row r="643" ht="15.75" customHeight="1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</row>
    <row r="644" ht="15.75" customHeight="1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</row>
    <row r="645" ht="15.75" customHeight="1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</row>
    <row r="646" ht="15.75" customHeight="1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</row>
    <row r="647" ht="15.75" customHeight="1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</row>
    <row r="648" ht="15.75" customHeight="1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</row>
    <row r="649" ht="15.75" customHeight="1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</row>
    <row r="650" ht="15.75" customHeight="1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</row>
    <row r="651" ht="15.75" customHeight="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</row>
    <row r="652" ht="15.75" customHeight="1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</row>
    <row r="653" ht="15.75" customHeight="1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</row>
    <row r="654" ht="15.75" customHeight="1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</row>
    <row r="655" ht="15.75" customHeight="1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</row>
    <row r="656" ht="15.75" customHeight="1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</row>
    <row r="657" ht="15.75" customHeight="1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</row>
    <row r="658" ht="15.75" customHeight="1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</row>
    <row r="659" ht="15.75" customHeight="1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</row>
    <row r="660" ht="15.75" customHeight="1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</row>
    <row r="661" ht="15.75" customHeight="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</row>
    <row r="662" ht="15.75" customHeight="1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</row>
    <row r="663" ht="15.75" customHeight="1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</row>
    <row r="664" ht="15.75" customHeight="1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</row>
    <row r="665" ht="15.75" customHeight="1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</row>
    <row r="666" ht="15.75" customHeight="1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</row>
    <row r="667" ht="15.75" customHeight="1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</row>
    <row r="668" ht="15.75" customHeight="1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</row>
    <row r="669" ht="15.75" customHeight="1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</row>
    <row r="670" ht="15.75" customHeight="1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</row>
    <row r="671" ht="15.75" customHeight="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</row>
    <row r="672" ht="15.75" customHeight="1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</row>
    <row r="673" ht="15.75" customHeight="1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</row>
    <row r="674" ht="15.75" customHeight="1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</row>
    <row r="675" ht="15.75" customHeight="1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</row>
    <row r="676" ht="15.75" customHeight="1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</row>
    <row r="677" ht="15.75" customHeight="1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</row>
    <row r="678" ht="15.75" customHeight="1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</row>
    <row r="679" ht="15.75" customHeight="1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</row>
    <row r="680" ht="15.75" customHeight="1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</row>
    <row r="681" ht="15.75" customHeight="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</row>
    <row r="682" ht="15.75" customHeight="1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</row>
    <row r="683" ht="15.75" customHeight="1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</row>
    <row r="684" ht="15.75" customHeight="1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</row>
    <row r="685" ht="15.75" customHeight="1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</row>
    <row r="686" ht="15.75" customHeight="1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</row>
    <row r="687" ht="15.75" customHeight="1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</row>
    <row r="688" ht="15.75" customHeight="1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</row>
    <row r="689" ht="15.75" customHeight="1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</row>
    <row r="690" ht="15.75" customHeight="1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</row>
    <row r="691" ht="15.75" customHeight="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</row>
    <row r="692" ht="15.75" customHeight="1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</row>
    <row r="693" ht="15.75" customHeight="1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</row>
    <row r="694" ht="15.75" customHeight="1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</row>
    <row r="695" ht="15.75" customHeight="1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</row>
    <row r="696" ht="15.75" customHeight="1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</row>
    <row r="697" ht="15.75" customHeight="1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</row>
    <row r="698" ht="15.75" customHeight="1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</row>
    <row r="699" ht="15.75" customHeight="1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</row>
    <row r="700" ht="15.75" customHeight="1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</row>
    <row r="701" ht="15.75" customHeight="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</row>
    <row r="702" ht="15.75" customHeight="1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</row>
    <row r="703" ht="15.75" customHeight="1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</row>
    <row r="704" ht="15.75" customHeight="1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</row>
    <row r="705" ht="15.75" customHeight="1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</row>
    <row r="706" ht="15.75" customHeight="1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</row>
    <row r="707" ht="15.75" customHeight="1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</row>
    <row r="708" ht="15.75" customHeight="1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</row>
    <row r="709" ht="15.75" customHeight="1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</row>
    <row r="710" ht="15.75" customHeight="1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</row>
    <row r="711" ht="15.75" customHeight="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</row>
    <row r="712" ht="15.75" customHeight="1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</row>
    <row r="713" ht="15.75" customHeight="1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</row>
    <row r="714" ht="15.75" customHeight="1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</row>
    <row r="715" ht="15.75" customHeight="1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</row>
    <row r="716" ht="15.75" customHeight="1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</row>
    <row r="717" ht="15.75" customHeight="1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</row>
    <row r="718" ht="15.75" customHeight="1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</row>
    <row r="719" ht="15.75" customHeight="1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</row>
    <row r="720" ht="15.75" customHeight="1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</row>
    <row r="721" ht="15.75" customHeight="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</row>
    <row r="722" ht="15.75" customHeight="1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</row>
    <row r="723" ht="15.75" customHeight="1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</row>
    <row r="724" ht="15.75" customHeight="1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</row>
    <row r="725" ht="15.75" customHeight="1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</row>
    <row r="726" ht="15.75" customHeight="1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</row>
    <row r="727" ht="15.75" customHeight="1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</row>
    <row r="728" ht="15.75" customHeight="1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</row>
    <row r="729" ht="15.75" customHeight="1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</row>
    <row r="730" ht="15.75" customHeight="1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</row>
    <row r="731" ht="15.75" customHeight="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</row>
    <row r="732" ht="15.75" customHeight="1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</row>
    <row r="733" ht="15.75" customHeight="1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</row>
    <row r="734" ht="15.75" customHeight="1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</row>
    <row r="735" ht="15.75" customHeight="1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</row>
    <row r="736" ht="15.75" customHeight="1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</row>
    <row r="737" ht="15.75" customHeight="1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</row>
    <row r="738" ht="15.75" customHeight="1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</row>
    <row r="739" ht="15.75" customHeight="1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</row>
    <row r="740" ht="15.75" customHeight="1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</row>
    <row r="741" ht="15.75" customHeight="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</row>
    <row r="742" ht="15.75" customHeight="1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</row>
    <row r="743" ht="15.75" customHeight="1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</row>
    <row r="744" ht="15.75" customHeight="1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</row>
    <row r="745" ht="15.75" customHeight="1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</row>
    <row r="746" ht="15.75" customHeight="1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</row>
    <row r="747" ht="15.75" customHeight="1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</row>
    <row r="748" ht="15.75" customHeight="1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</row>
    <row r="749" ht="15.75" customHeight="1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</row>
    <row r="750" ht="15.75" customHeight="1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</row>
    <row r="751" ht="15.75" customHeight="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</row>
    <row r="752" ht="15.75" customHeight="1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</row>
    <row r="753" ht="15.75" customHeight="1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</row>
    <row r="754" ht="15.75" customHeight="1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</row>
    <row r="755" ht="15.75" customHeight="1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</row>
    <row r="756" ht="15.75" customHeight="1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</row>
    <row r="757" ht="15.75" customHeight="1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</row>
    <row r="758" ht="15.75" customHeight="1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</row>
    <row r="759" ht="15.75" customHeight="1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</row>
    <row r="760" ht="15.75" customHeight="1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</row>
    <row r="761" ht="15.75" customHeight="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</row>
    <row r="762" ht="15.75" customHeight="1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</row>
    <row r="763" ht="15.75" customHeight="1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</row>
    <row r="764" ht="15.75" customHeight="1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</row>
    <row r="765" ht="15.75" customHeight="1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</row>
    <row r="766" ht="15.75" customHeight="1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</row>
    <row r="767" ht="15.75" customHeight="1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</row>
    <row r="768" ht="15.75" customHeight="1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</row>
    <row r="769" ht="15.75" customHeight="1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</row>
    <row r="770" ht="15.75" customHeight="1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</row>
    <row r="771" ht="15.75" customHeight="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</row>
    <row r="772" ht="15.75" customHeight="1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</row>
    <row r="773" ht="15.75" customHeight="1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</row>
    <row r="774" ht="15.75" customHeight="1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</row>
    <row r="775" ht="15.75" customHeight="1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</row>
    <row r="776" ht="15.75" customHeight="1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</row>
    <row r="777" ht="15.75" customHeight="1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</row>
    <row r="778" ht="15.75" customHeight="1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</row>
    <row r="779" ht="15.75" customHeight="1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</row>
    <row r="780" ht="15.75" customHeight="1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</row>
    <row r="781" ht="15.75" customHeight="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</row>
    <row r="782" ht="15.75" customHeight="1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</row>
    <row r="783" ht="15.75" customHeight="1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</row>
    <row r="784" ht="15.75" customHeight="1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</row>
    <row r="785" ht="15.75" customHeight="1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</row>
    <row r="786" ht="15.75" customHeight="1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</row>
    <row r="787" ht="15.75" customHeight="1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</row>
    <row r="788" ht="15.75" customHeight="1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</row>
    <row r="789" ht="15.75" customHeight="1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</row>
    <row r="790" ht="15.75" customHeight="1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</row>
    <row r="791" ht="15.75" customHeight="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</row>
    <row r="792" ht="15.75" customHeight="1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</row>
    <row r="793" ht="15.75" customHeight="1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</row>
    <row r="794" ht="15.75" customHeight="1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</row>
    <row r="795" ht="15.75" customHeight="1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</row>
    <row r="796" ht="15.75" customHeight="1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</row>
    <row r="797" ht="15.75" customHeight="1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</row>
    <row r="798" ht="15.75" customHeight="1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</row>
    <row r="799" ht="15.75" customHeight="1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</row>
    <row r="800" ht="15.75" customHeight="1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</row>
    <row r="801" ht="15.75" customHeight="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</row>
    <row r="802" ht="15.75" customHeight="1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</row>
    <row r="803" ht="15.75" customHeight="1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</row>
    <row r="804" ht="15.75" customHeight="1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</row>
    <row r="805" ht="15.75" customHeight="1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</row>
    <row r="806" ht="15.75" customHeight="1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</row>
    <row r="807" ht="15.75" customHeight="1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</row>
    <row r="808" ht="15.75" customHeight="1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</row>
    <row r="809" ht="15.75" customHeight="1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</row>
    <row r="810" ht="15.75" customHeight="1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</row>
    <row r="811" ht="15.75" customHeight="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</row>
    <row r="812" ht="15.75" customHeight="1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</row>
    <row r="813" ht="15.75" customHeight="1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</row>
    <row r="814" ht="15.75" customHeight="1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</row>
    <row r="815" ht="15.75" customHeight="1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</row>
    <row r="816" ht="15.75" customHeight="1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</row>
    <row r="817" ht="15.75" customHeight="1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</row>
    <row r="818" ht="15.75" customHeight="1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</row>
    <row r="819" ht="15.75" customHeight="1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</row>
    <row r="820" ht="15.75" customHeight="1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</row>
    <row r="821" ht="15.75" customHeight="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</row>
    <row r="822" ht="15.75" customHeight="1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</row>
    <row r="823" ht="15.75" customHeight="1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</row>
    <row r="824" ht="15.75" customHeight="1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</row>
    <row r="825" ht="15.75" customHeight="1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</row>
    <row r="826" ht="15.75" customHeight="1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</row>
    <row r="827" ht="15.75" customHeight="1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</row>
    <row r="828" ht="15.75" customHeight="1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</row>
    <row r="829" ht="15.75" customHeight="1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</row>
    <row r="830" ht="15.75" customHeight="1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</row>
    <row r="831" ht="15.75" customHeight="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</row>
    <row r="832" ht="15.75" customHeight="1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</row>
    <row r="833" ht="15.75" customHeight="1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</row>
    <row r="834" ht="15.75" customHeight="1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</row>
    <row r="835" ht="15.75" customHeight="1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</row>
    <row r="836" ht="15.75" customHeight="1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</row>
    <row r="837" ht="15.75" customHeight="1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</row>
    <row r="838" ht="15.75" customHeight="1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</row>
    <row r="839" ht="15.75" customHeight="1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</row>
    <row r="840" ht="15.75" customHeight="1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</row>
    <row r="841" ht="15.75" customHeight="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</row>
    <row r="842" ht="15.75" customHeight="1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</row>
    <row r="843" ht="15.75" customHeight="1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</row>
    <row r="844" ht="15.75" customHeight="1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</row>
    <row r="845" ht="15.75" customHeight="1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</row>
    <row r="846" ht="15.75" customHeight="1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</row>
    <row r="847" ht="15.75" customHeight="1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</row>
    <row r="848" ht="15.75" customHeight="1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</row>
    <row r="849" ht="15.75" customHeight="1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</row>
    <row r="850" ht="15.75" customHeight="1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</row>
    <row r="851" ht="15.75" customHeight="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</row>
    <row r="852" ht="15.75" customHeight="1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</row>
    <row r="853" ht="15.75" customHeight="1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</row>
    <row r="854" ht="15.75" customHeight="1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</row>
    <row r="855" ht="15.75" customHeight="1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</row>
    <row r="856" ht="15.75" customHeight="1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</row>
    <row r="857" ht="15.75" customHeight="1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</row>
    <row r="858" ht="15.75" customHeight="1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</row>
    <row r="859" ht="15.75" customHeight="1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</row>
    <row r="860" ht="15.75" customHeight="1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</row>
    <row r="861" ht="15.75" customHeight="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</row>
    <row r="862" ht="15.75" customHeight="1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</row>
    <row r="863" ht="15.75" customHeight="1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</row>
    <row r="864" ht="15.75" customHeight="1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</row>
    <row r="865" ht="15.75" customHeight="1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</row>
    <row r="866" ht="15.75" customHeight="1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</row>
    <row r="867" ht="15.75" customHeight="1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</row>
    <row r="868" ht="15.75" customHeight="1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</row>
    <row r="869" ht="15.75" customHeight="1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</row>
    <row r="870" ht="15.75" customHeight="1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</row>
    <row r="871" ht="15.75" customHeight="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</row>
    <row r="872" ht="15.75" customHeight="1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</row>
    <row r="873" ht="15.75" customHeight="1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</row>
    <row r="874" ht="15.75" customHeight="1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</row>
    <row r="875" ht="15.75" customHeight="1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</row>
    <row r="876" ht="15.75" customHeight="1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</row>
    <row r="877" ht="15.75" customHeight="1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</row>
    <row r="878" ht="15.75" customHeight="1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</row>
    <row r="879" ht="15.75" customHeight="1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</row>
    <row r="880" ht="15.75" customHeight="1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</row>
    <row r="881" ht="15.75" customHeight="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</row>
    <row r="882" ht="15.75" customHeight="1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</row>
    <row r="883" ht="15.75" customHeight="1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</row>
    <row r="884" ht="15.75" customHeight="1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</row>
    <row r="885" ht="15.75" customHeight="1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</row>
    <row r="886" ht="15.75" customHeight="1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</row>
    <row r="887" ht="15.75" customHeight="1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</row>
    <row r="888" ht="15.75" customHeight="1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</row>
    <row r="889" ht="15.75" customHeight="1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</row>
    <row r="890" ht="15.75" customHeight="1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</row>
    <row r="891" ht="15.75" customHeight="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</row>
    <row r="892" ht="15.75" customHeight="1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</row>
    <row r="893" ht="15.75" customHeight="1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</row>
    <row r="894" ht="15.75" customHeight="1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</row>
    <row r="895" ht="15.75" customHeight="1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</row>
    <row r="896" ht="15.75" customHeight="1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</row>
    <row r="897" ht="15.75" customHeight="1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</row>
    <row r="898" ht="15.75" customHeight="1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</row>
    <row r="899" ht="15.75" customHeight="1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</row>
    <row r="900" ht="15.75" customHeight="1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</row>
    <row r="901" ht="15.75" customHeight="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</row>
    <row r="902" ht="15.75" customHeight="1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</row>
    <row r="903" ht="15.75" customHeight="1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</row>
    <row r="904" ht="15.75" customHeight="1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</row>
    <row r="905" ht="15.75" customHeight="1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</row>
    <row r="906" ht="15.75" customHeight="1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</row>
    <row r="907" ht="15.75" customHeight="1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</row>
    <row r="908" ht="15.75" customHeight="1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</row>
    <row r="909" ht="15.75" customHeight="1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</row>
    <row r="910" ht="15.75" customHeight="1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</row>
    <row r="911" ht="15.75" customHeight="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</row>
    <row r="912" ht="15.75" customHeight="1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</row>
    <row r="913" ht="15.75" customHeight="1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</row>
    <row r="914" ht="15.75" customHeight="1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</row>
    <row r="915" ht="15.75" customHeight="1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</row>
    <row r="916" ht="15.75" customHeight="1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</row>
    <row r="917" ht="15.75" customHeight="1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</row>
    <row r="918" ht="15.75" customHeight="1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</row>
    <row r="919" ht="15.75" customHeight="1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</row>
    <row r="920" ht="15.75" customHeight="1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</row>
    <row r="921" ht="15.75" customHeight="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</row>
    <row r="922" ht="15.75" customHeight="1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</row>
    <row r="923" ht="15.75" customHeight="1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</row>
    <row r="924" ht="15.75" customHeight="1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</row>
    <row r="925" ht="15.75" customHeight="1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</row>
    <row r="926" ht="15.75" customHeight="1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</row>
    <row r="927" ht="15.75" customHeight="1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</row>
    <row r="928" ht="15.75" customHeight="1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</row>
    <row r="929" ht="15.75" customHeight="1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</row>
    <row r="930" ht="15.75" customHeight="1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</row>
    <row r="931" ht="15.75" customHeight="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</row>
    <row r="932" ht="15.75" customHeight="1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</row>
    <row r="933" ht="15.75" customHeight="1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</row>
    <row r="934" ht="15.75" customHeight="1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</row>
    <row r="935" ht="15.75" customHeight="1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</row>
    <row r="936" ht="15.75" customHeight="1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</row>
    <row r="937" ht="15.75" customHeight="1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</row>
    <row r="938" ht="15.75" customHeight="1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</row>
    <row r="939" ht="15.75" customHeight="1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</row>
    <row r="940" ht="15.75" customHeight="1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</row>
    <row r="941" ht="15.75" customHeight="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</row>
    <row r="942" ht="15.75" customHeight="1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</row>
    <row r="943" ht="15.75" customHeight="1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</row>
    <row r="944" ht="15.75" customHeight="1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</row>
    <row r="945" ht="15.75" customHeight="1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</row>
    <row r="946" ht="15.75" customHeight="1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</row>
    <row r="947" ht="15.75" customHeight="1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</row>
    <row r="948" ht="15.75" customHeight="1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</row>
    <row r="949" ht="15.75" customHeight="1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</row>
    <row r="950" ht="15.75" customHeight="1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</row>
    <row r="951" ht="15.75" customHeight="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</row>
    <row r="952" ht="15.75" customHeight="1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</row>
    <row r="953" ht="15.75" customHeight="1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</row>
    <row r="954" ht="15.75" customHeight="1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</row>
    <row r="955" ht="15.75" customHeight="1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</row>
    <row r="956" ht="15.75" customHeight="1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</row>
    <row r="957" ht="15.75" customHeight="1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</row>
    <row r="958" ht="15.75" customHeight="1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</row>
    <row r="959" ht="15.75" customHeight="1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</row>
    <row r="960" ht="15.75" customHeight="1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</row>
    <row r="961" ht="15.75" customHeight="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</row>
    <row r="962" ht="15.75" customHeight="1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</row>
    <row r="963" ht="15.75" customHeight="1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</row>
    <row r="964" ht="15.75" customHeight="1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</row>
    <row r="965" ht="15.75" customHeight="1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</row>
    <row r="966" ht="15.75" customHeight="1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</row>
    <row r="967" ht="15.75" customHeight="1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</row>
    <row r="968" ht="15.75" customHeight="1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</row>
    <row r="969" ht="15.75" customHeight="1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</row>
    <row r="970" ht="15.75" customHeight="1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</row>
    <row r="971" ht="15.75" customHeight="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</row>
    <row r="972" ht="15.75" customHeight="1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</row>
    <row r="973" ht="15.75" customHeight="1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</row>
    <row r="974" ht="15.75" customHeight="1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</row>
    <row r="975" ht="15.75" customHeight="1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</row>
    <row r="976" ht="15.75" customHeight="1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</row>
    <row r="977" ht="15.75" customHeight="1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</row>
    <row r="978" ht="15.75" customHeight="1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</row>
    <row r="979" ht="15.75" customHeight="1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</row>
    <row r="980" ht="15.75" customHeight="1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</row>
    <row r="981" ht="15.75" customHeight="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</row>
    <row r="982" ht="15.75" customHeight="1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</row>
    <row r="983" ht="15.75" customHeight="1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</row>
    <row r="984" ht="15.75" customHeight="1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3.75"/>
    <col customWidth="1" min="2" max="2" width="14.38"/>
    <col customWidth="1" min="3" max="3" width="22.88"/>
    <col customWidth="1" min="4" max="4" width="22.38"/>
    <col customWidth="1" min="5" max="5" width="7.0"/>
    <col customWidth="1" min="6" max="6" width="20.88"/>
    <col customWidth="1" min="7" max="26" width="14.38"/>
  </cols>
  <sheetData>
    <row r="1" ht="15.75" customHeight="1">
      <c r="A1" s="55" t="s">
        <v>48</v>
      </c>
      <c r="B1" s="56" t="s">
        <v>49</v>
      </c>
      <c r="E1" s="57"/>
      <c r="F1" s="57"/>
      <c r="G1" s="57"/>
      <c r="H1" s="5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ht="15.75" customHeight="1">
      <c r="A2" s="58"/>
      <c r="B2" s="58" t="s">
        <v>50</v>
      </c>
      <c r="C2" s="58" t="s">
        <v>51</v>
      </c>
      <c r="D2" s="58" t="s">
        <v>52</v>
      </c>
      <c r="E2" s="57"/>
      <c r="F2" s="57"/>
      <c r="G2" s="57"/>
      <c r="H2" s="5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ht="15.75" customHeight="1">
      <c r="A3" s="59" t="s">
        <v>53</v>
      </c>
      <c r="B3" s="60">
        <v>200000.0</v>
      </c>
      <c r="C3" s="61">
        <v>0.01</v>
      </c>
      <c r="D3" s="6">
        <f t="shared" ref="D3:D11" si="1">B3*C3</f>
        <v>2000</v>
      </c>
      <c r="E3" s="57"/>
      <c r="F3" s="57"/>
      <c r="G3" s="57"/>
      <c r="H3" s="5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ht="15.75" customHeight="1">
      <c r="A4" s="62" t="s">
        <v>54</v>
      </c>
      <c r="B4" s="63">
        <v>40000.0</v>
      </c>
      <c r="C4" s="64">
        <v>0.02</v>
      </c>
      <c r="D4" s="65">
        <f t="shared" si="1"/>
        <v>800</v>
      </c>
      <c r="E4" s="57"/>
      <c r="F4" s="57"/>
      <c r="G4" s="57"/>
      <c r="H4" s="5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ht="15.75" customHeight="1">
      <c r="A5" s="59" t="s">
        <v>55</v>
      </c>
      <c r="B5" s="60">
        <v>20000.0</v>
      </c>
      <c r="C5" s="61">
        <v>0.01</v>
      </c>
      <c r="D5" s="6">
        <f t="shared" si="1"/>
        <v>200</v>
      </c>
      <c r="E5" s="57"/>
      <c r="F5" s="57"/>
      <c r="G5" s="57"/>
      <c r="H5" s="5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ht="15.75" customHeight="1">
      <c r="A6" s="62" t="s">
        <v>56</v>
      </c>
      <c r="B6" s="63">
        <v>130000.0</v>
      </c>
      <c r="C6" s="64">
        <v>0.02</v>
      </c>
      <c r="D6" s="65">
        <f t="shared" si="1"/>
        <v>2600</v>
      </c>
      <c r="E6" s="57"/>
      <c r="F6" s="57"/>
      <c r="G6" s="57"/>
      <c r="H6" s="5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ht="15.75" customHeight="1">
      <c r="A7" s="59" t="s">
        <v>57</v>
      </c>
      <c r="B7" s="60">
        <v>3000.0</v>
      </c>
      <c r="C7" s="61">
        <v>1.0</v>
      </c>
      <c r="D7" s="6">
        <f t="shared" si="1"/>
        <v>3000</v>
      </c>
      <c r="E7" s="57"/>
      <c r="F7" s="57"/>
      <c r="G7" s="57"/>
      <c r="H7" s="5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ht="15.75" customHeight="1">
      <c r="A8" s="62" t="s">
        <v>58</v>
      </c>
      <c r="B8" s="63">
        <v>15000.0</v>
      </c>
      <c r="C8" s="64">
        <v>1.0</v>
      </c>
      <c r="D8" s="65">
        <f t="shared" si="1"/>
        <v>15000</v>
      </c>
      <c r="E8" s="57"/>
      <c r="F8" s="57"/>
      <c r="G8" s="57"/>
      <c r="H8" s="5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ht="15.75" customHeight="1">
      <c r="A9" s="59" t="s">
        <v>59</v>
      </c>
      <c r="B9" s="60">
        <v>1000.0</v>
      </c>
      <c r="C9" s="61">
        <v>1.0</v>
      </c>
      <c r="D9" s="6">
        <f t="shared" si="1"/>
        <v>1000</v>
      </c>
      <c r="E9" s="57"/>
      <c r="F9" s="57"/>
      <c r="G9" s="57"/>
      <c r="H9" s="5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ht="15.75" customHeight="1">
      <c r="A10" s="62" t="s">
        <v>60</v>
      </c>
      <c r="B10" s="63">
        <v>2000.0</v>
      </c>
      <c r="C10" s="64">
        <v>1.0</v>
      </c>
      <c r="D10" s="65">
        <f t="shared" si="1"/>
        <v>2000</v>
      </c>
      <c r="E10" s="57"/>
      <c r="F10" s="57"/>
      <c r="G10" s="57"/>
      <c r="H10" s="5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ht="15.75" customHeight="1">
      <c r="A11" s="59" t="s">
        <v>61</v>
      </c>
      <c r="B11" s="60">
        <v>10000.0</v>
      </c>
      <c r="C11" s="61">
        <v>1.0</v>
      </c>
      <c r="D11" s="6">
        <f t="shared" si="1"/>
        <v>10000</v>
      </c>
      <c r="E11" s="57"/>
      <c r="F11" s="57"/>
      <c r="G11" s="57"/>
      <c r="H11" s="5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ht="15.75" customHeight="1">
      <c r="A12" s="66" t="s">
        <v>62</v>
      </c>
      <c r="B12" s="67">
        <f>SUM(B3:B11)</f>
        <v>421000</v>
      </c>
      <c r="C12" s="66" t="s">
        <v>63</v>
      </c>
      <c r="D12" s="67">
        <f>SUM(D3:D11)</f>
        <v>36600</v>
      </c>
      <c r="E12" s="57"/>
      <c r="F12" s="57"/>
      <c r="G12" s="57"/>
      <c r="H12" s="5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ht="15.75" customHeight="1">
      <c r="A13" s="57"/>
      <c r="B13" s="57"/>
      <c r="C13" s="57"/>
      <c r="D13" s="57"/>
      <c r="E13" s="57"/>
      <c r="F13" s="57"/>
      <c r="G13" s="57"/>
      <c r="H13" s="5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ht="15.75" customHeight="1">
      <c r="A14" s="57"/>
      <c r="B14" s="57"/>
      <c r="C14" s="57"/>
      <c r="D14" s="57"/>
      <c r="E14" s="57"/>
      <c r="F14" s="57"/>
      <c r="G14" s="57"/>
      <c r="H14" s="5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ht="15.75" customHeight="1">
      <c r="A15" s="57"/>
      <c r="B15" s="57"/>
      <c r="C15" s="57"/>
      <c r="D15" s="57"/>
      <c r="E15" s="57"/>
      <c r="F15" s="57"/>
      <c r="G15" s="57"/>
      <c r="H15" s="5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ht="15.75" customHeight="1">
      <c r="A16" s="68" t="s">
        <v>64</v>
      </c>
      <c r="B16" s="69"/>
      <c r="C16" s="69"/>
      <c r="D16" s="69"/>
      <c r="E16" s="69"/>
      <c r="F16" s="70"/>
      <c r="G16" s="57"/>
      <c r="H16" s="5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ht="15.75" customHeight="1">
      <c r="A17" s="71" t="s">
        <v>65</v>
      </c>
      <c r="B17" s="71" t="s">
        <v>66</v>
      </c>
      <c r="C17" s="71" t="s">
        <v>67</v>
      </c>
      <c r="D17" s="71" t="s">
        <v>68</v>
      </c>
      <c r="G17" s="57"/>
      <c r="H17" s="5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ht="15.75" customHeight="1">
      <c r="A18" s="72" t="s">
        <v>14</v>
      </c>
      <c r="B18" s="73">
        <f>SALES!AF34</f>
        <v>736340</v>
      </c>
      <c r="C18" s="74" t="s">
        <v>69</v>
      </c>
      <c r="D18" s="74" t="s">
        <v>70</v>
      </c>
      <c r="G18" s="57"/>
      <c r="H18" s="5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ht="24.75" customHeight="1">
      <c r="A19" s="75" t="s">
        <v>71</v>
      </c>
      <c r="B19" s="76">
        <f>PURCHASE!AF37</f>
        <v>658240.18</v>
      </c>
      <c r="C19" s="77" t="s">
        <v>69</v>
      </c>
      <c r="D19" s="77"/>
      <c r="G19" s="57"/>
      <c r="H19" s="5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ht="31.5" customHeight="1">
      <c r="A20" s="72" t="s">
        <v>72</v>
      </c>
      <c r="B20" s="73">
        <f>B18-B19</f>
        <v>78099.82</v>
      </c>
      <c r="C20" s="74" t="s">
        <v>69</v>
      </c>
      <c r="D20" s="74"/>
      <c r="G20" s="57"/>
      <c r="H20" s="5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ht="15.75" customHeight="1">
      <c r="A21" s="75" t="s">
        <v>73</v>
      </c>
      <c r="B21" s="76">
        <f>D12</f>
        <v>36600</v>
      </c>
      <c r="C21" s="77" t="s">
        <v>69</v>
      </c>
      <c r="D21" s="77" t="s">
        <v>74</v>
      </c>
      <c r="G21" s="57"/>
      <c r="H21" s="57" t="s">
        <v>75</v>
      </c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ht="28.5" customHeight="1">
      <c r="A22" s="72" t="s">
        <v>76</v>
      </c>
      <c r="B22" s="73">
        <f>B20-B21</f>
        <v>41499.82</v>
      </c>
      <c r="C22" s="74" t="s">
        <v>69</v>
      </c>
      <c r="D22" s="74"/>
      <c r="G22" s="57"/>
      <c r="H22" s="5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ht="24.75" customHeight="1">
      <c r="A23" s="75" t="s">
        <v>77</v>
      </c>
      <c r="B23" s="78">
        <f>B20/B18</f>
        <v>0.1060648885</v>
      </c>
      <c r="C23" s="77" t="s">
        <v>78</v>
      </c>
      <c r="D23" s="7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ht="26.25" customHeight="1">
      <c r="A24" s="72" t="s">
        <v>79</v>
      </c>
      <c r="B24" s="79">
        <f>B22/B18</f>
        <v>0.05635958932</v>
      </c>
      <c r="C24" s="74" t="s">
        <v>80</v>
      </c>
      <c r="D24" s="74" t="s">
        <v>81</v>
      </c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ht="30.0" customHeight="1">
      <c r="A25" s="75" t="s">
        <v>82</v>
      </c>
      <c r="B25" s="76">
        <v>400000.0</v>
      </c>
      <c r="C25" s="77" t="s">
        <v>69</v>
      </c>
      <c r="D25" s="7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ht="33.75" customHeight="1">
      <c r="A26" s="72" t="s">
        <v>83</v>
      </c>
      <c r="B26" s="73">
        <f>INVENTORY!M35+10000</f>
        <v>28524.85685</v>
      </c>
      <c r="C26" s="74" t="s">
        <v>69</v>
      </c>
      <c r="D26" s="74" t="s">
        <v>84</v>
      </c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ht="23.25" customHeight="1">
      <c r="A27" s="75" t="s">
        <v>85</v>
      </c>
      <c r="B27" s="76">
        <f>B25+B26</f>
        <v>428524.8569</v>
      </c>
      <c r="C27" s="77" t="s">
        <v>69</v>
      </c>
      <c r="D27" s="7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ht="34.5" customHeight="1">
      <c r="A28" s="72" t="s">
        <v>86</v>
      </c>
      <c r="B28" s="80">
        <f>B18/B27</f>
        <v>1.718313391</v>
      </c>
      <c r="C28" s="74">
        <v>2.5</v>
      </c>
      <c r="D28" s="74" t="s">
        <v>87</v>
      </c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ht="32.25" customHeight="1">
      <c r="A29" s="75" t="s">
        <v>88</v>
      </c>
      <c r="B29" s="76">
        <v>400000.0</v>
      </c>
      <c r="C29" s="77" t="s">
        <v>69</v>
      </c>
      <c r="D29" s="7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ht="51.0" customHeight="1">
      <c r="A30" s="72" t="s">
        <v>89</v>
      </c>
      <c r="B30" s="80">
        <f>B26/B29</f>
        <v>0.07131214214</v>
      </c>
      <c r="C30" s="74" t="s">
        <v>90</v>
      </c>
      <c r="D30" s="74" t="s">
        <v>91</v>
      </c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ht="50.25" customHeight="1">
      <c r="A31" s="75" t="s">
        <v>92</v>
      </c>
      <c r="B31" s="81">
        <f>B22/(B27-B29)</f>
        <v>1.454865145</v>
      </c>
      <c r="C31" s="77" t="s">
        <v>69</v>
      </c>
      <c r="D31" s="77" t="s">
        <v>93</v>
      </c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ht="49.5" customHeight="1">
      <c r="A32" s="72" t="s">
        <v>94</v>
      </c>
      <c r="B32" s="82">
        <f>B22/B27</f>
        <v>0.09684343705</v>
      </c>
      <c r="C32" s="74" t="s">
        <v>95</v>
      </c>
      <c r="D32" s="74" t="s">
        <v>96</v>
      </c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ht="15.75" customHeight="1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ht="15.75" customHeight="1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ht="15.75" customHeight="1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ht="15.75" customHeight="1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ht="15.75" customHeight="1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ht="15.75" customHeight="1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ht="15.75" customHeight="1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ht="15.75" customHeight="1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ht="15.75" customHeight="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ht="15.75" customHeight="1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ht="15.75" customHeight="1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ht="15.75" customHeight="1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ht="15.75" customHeight="1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ht="15.75" customHeight="1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ht="15.75" customHeight="1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ht="15.75" customHeight="1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ht="15.75" customHeight="1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ht="15.75" customHeight="1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ht="15.75" customHeight="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ht="15.75" customHeight="1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ht="15.75" customHeight="1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ht="15.75" customHeight="1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ht="15.75" customHeight="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ht="15.75" customHeight="1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ht="15.75" customHeight="1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ht="15.75" customHeight="1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ht="15.75" customHeight="1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ht="15.75" customHeight="1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ht="15.75" customHeight="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ht="15.75" customHeight="1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ht="15.75" customHeight="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ht="15.75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ht="15.75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ht="15.75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ht="15.75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ht="15.75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ht="15.75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ht="15.75" customHeight="1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ht="15.75" customHeight="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ht="15.75" customHeight="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ht="15.75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ht="15.75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ht="15.75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ht="15.75" customHeight="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ht="15.75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ht="15.75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ht="15.75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ht="15.75" customHeight="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ht="15.75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ht="15.75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ht="15.75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ht="15.75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ht="15.75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ht="15.75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ht="15.75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ht="15.75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ht="15.75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ht="15.75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ht="15.75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ht="15.75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ht="15.75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ht="15.75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ht="15.75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ht="15.75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ht="15.7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ht="15.7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ht="15.7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ht="15.7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ht="15.75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ht="15.75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ht="15.75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ht="15.75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ht="15.7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ht="15.75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ht="15.75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ht="15.75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ht="15.75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ht="15.75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ht="15.75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ht="15.75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ht="15.75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ht="15.75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ht="15.75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ht="15.75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ht="15.7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ht="15.75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ht="15.7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ht="15.7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ht="15.7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ht="15.75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ht="15.7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ht="15.75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ht="15.7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ht="15.7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ht="15.7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ht="15.7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ht="15.7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ht="15.7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ht="15.7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ht="15.7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ht="15.7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ht="15.75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ht="15.7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ht="15.7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ht="15.7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ht="15.7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ht="15.7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ht="15.7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ht="15.7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ht="15.7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ht="15.7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ht="15.7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ht="15.7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ht="15.7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ht="15.7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ht="15.7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ht="15.7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ht="15.7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ht="15.7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ht="15.7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ht="15.7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ht="15.7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ht="15.7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ht="15.7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ht="15.7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ht="15.7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ht="15.7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ht="15.7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ht="15.7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ht="15.7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ht="15.7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ht="15.7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ht="15.7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ht="15.7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ht="15.7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ht="15.7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ht="15.7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ht="15.7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ht="15.7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ht="15.7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ht="15.7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ht="15.7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ht="15.7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ht="15.7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ht="15.7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ht="15.7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ht="15.7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ht="15.7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ht="15.7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ht="15.7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ht="15.7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ht="15.7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ht="15.7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ht="15.7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ht="15.7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ht="15.7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ht="15.7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ht="15.7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ht="15.7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ht="15.7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ht="15.7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ht="15.7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ht="15.7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ht="15.7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ht="15.7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ht="15.7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ht="15.7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ht="15.7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ht="15.7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ht="15.7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ht="15.7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ht="15.7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ht="15.7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ht="15.7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ht="15.7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ht="15.7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ht="15.7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ht="15.7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ht="15.7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ht="15.7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ht="15.7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ht="15.7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ht="15.7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ht="15.7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ht="15.7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ht="15.7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ht="15.7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ht="15.7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ht="15.75" customHeight="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ht="15.75" customHeight="1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ht="15.75" customHeight="1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ht="15.75" customHeight="1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ht="15.75" customHeight="1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ht="15.75" customHeight="1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ht="15.75" customHeight="1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ht="15.75" customHeight="1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ht="15.75" customHeight="1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ht="15.75" customHeight="1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ht="15.75" customHeight="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ht="15.75" customHeight="1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ht="15.75" customHeight="1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ht="15.75" customHeight="1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ht="15.75" customHeight="1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ht="15.75" customHeight="1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ht="15.75" customHeight="1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ht="15.75" customHeight="1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ht="15.75" customHeight="1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ht="15.75" customHeight="1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ht="15.75" customHeight="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ht="15.75" customHeight="1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ht="15.75" customHeight="1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ht="15.75" customHeight="1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ht="15.75" customHeight="1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ht="15.75" customHeight="1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ht="15.75" customHeight="1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ht="15.75" customHeight="1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ht="15.75" customHeight="1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ht="15.75" customHeight="1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ht="15.75" customHeight="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ht="15.75" customHeight="1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ht="15.75" customHeight="1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ht="15.75" customHeight="1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ht="15.75" customHeight="1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ht="15.75" customHeight="1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ht="15.75" customHeight="1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ht="15.75" customHeight="1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ht="15.75" customHeight="1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ht="15.75" customHeight="1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ht="15.75" customHeight="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ht="15.75" customHeight="1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ht="15.75" customHeight="1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ht="15.75" customHeight="1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ht="15.75" customHeight="1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ht="15.75" customHeight="1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ht="15.75" customHeight="1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ht="15.75" customHeight="1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ht="15.75" customHeight="1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ht="15.75" customHeight="1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ht="15.75" customHeight="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ht="15.75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ht="15.75" customHeight="1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ht="15.75" customHeight="1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ht="15.75" customHeight="1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ht="15.75" customHeight="1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ht="15.75" customHeight="1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ht="15.75" customHeight="1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ht="15.75" customHeight="1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ht="15.75" customHeight="1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ht="15.75" customHeight="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ht="15.75" customHeight="1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ht="15.75" customHeight="1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ht="15.75" customHeight="1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ht="15.75" customHeight="1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ht="15.75" customHeight="1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ht="15.75" customHeight="1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ht="15.75" customHeight="1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ht="15.75" customHeight="1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ht="15.75" customHeight="1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ht="15.75" customHeight="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ht="15.75" customHeight="1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ht="15.75" customHeight="1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ht="15.75" customHeight="1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ht="15.75" customHeight="1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ht="15.75" customHeight="1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ht="15.75" customHeight="1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ht="15.75" customHeight="1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ht="15.75" customHeight="1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ht="15.75" customHeight="1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ht="15.75" customHeight="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ht="15.75" customHeight="1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ht="15.75" customHeight="1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ht="15.75" customHeight="1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ht="15.75" customHeight="1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ht="15.75" customHeight="1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ht="15.75" customHeight="1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ht="15.75" customHeight="1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ht="15.75" customHeight="1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ht="15.75" customHeight="1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ht="15.75" customHeight="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ht="15.75" customHeight="1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ht="15.75" customHeight="1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ht="15.75" customHeight="1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ht="15.75" customHeight="1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ht="15.75" customHeight="1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ht="15.75" customHeight="1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ht="15.75" customHeight="1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ht="15.75" customHeight="1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ht="15.75" customHeight="1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ht="15.75" customHeight="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ht="15.75" customHeight="1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ht="15.75" customHeight="1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ht="15.75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ht="15.75" customHeight="1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ht="15.75" customHeight="1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ht="15.75" customHeight="1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ht="15.75" customHeight="1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ht="15.75" customHeight="1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ht="15.75" customHeight="1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ht="15.75" customHeight="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ht="15.75" customHeight="1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ht="15.75" customHeight="1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ht="15.75" customHeight="1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ht="15.75" customHeight="1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ht="15.75" customHeight="1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ht="15.75" customHeight="1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ht="15.75" customHeight="1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ht="15.75" customHeight="1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ht="15.75" customHeight="1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ht="15.75" customHeight="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ht="15.75" customHeight="1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ht="15.75" customHeight="1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ht="15.75" customHeight="1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ht="15.75" customHeight="1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ht="15.75" customHeight="1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ht="15.75" customHeight="1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ht="15.75" customHeight="1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ht="15.75" customHeight="1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ht="15.75" customHeight="1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ht="15.75" customHeight="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ht="15.75" customHeight="1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ht="15.75" customHeight="1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ht="15.75" customHeight="1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ht="15.75" customHeight="1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ht="15.75" customHeight="1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ht="15.75" customHeight="1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ht="15.75" customHeight="1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ht="15.75" customHeight="1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ht="15.75" customHeight="1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ht="15.75" customHeight="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ht="15.75" customHeight="1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ht="15.75" customHeight="1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ht="15.75" customHeight="1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ht="15.75" customHeight="1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ht="15.75" customHeight="1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ht="15.75" customHeight="1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ht="15.75" customHeight="1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ht="15.75" customHeight="1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ht="15.75" customHeight="1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ht="15.75" customHeight="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ht="15.75" customHeight="1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ht="15.75" customHeight="1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ht="15.75" customHeight="1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ht="15.75" customHeight="1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ht="15.75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ht="15.75" customHeight="1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ht="15.75" customHeight="1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ht="15.75" customHeight="1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ht="15.75" customHeight="1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ht="15.75" customHeight="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ht="15.75" customHeight="1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ht="15.75" customHeight="1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ht="15.75" customHeight="1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ht="15.75" customHeight="1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ht="15.75" customHeight="1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ht="15.75" customHeight="1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ht="15.75" customHeight="1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ht="15.75" customHeight="1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ht="15.75" customHeight="1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ht="15.75" customHeight="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ht="15.75" customHeight="1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ht="15.75" customHeight="1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ht="15.75" customHeight="1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ht="15.75" customHeight="1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ht="15.75" customHeight="1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ht="15.75" customHeight="1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ht="15.75" customHeight="1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ht="15.75" customHeight="1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ht="15.75" customHeight="1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ht="15.75" customHeight="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ht="15.75" customHeight="1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ht="15.75" customHeight="1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ht="15.75" customHeight="1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ht="15.75" customHeight="1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ht="15.75" customHeight="1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ht="15.75" customHeight="1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ht="15.75" customHeight="1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ht="15.75" customHeight="1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ht="15.75" customHeight="1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ht="15.75" customHeight="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ht="15.75" customHeight="1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ht="15.75" customHeight="1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ht="15.75" customHeight="1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ht="15.75" customHeight="1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ht="15.75" customHeight="1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ht="15.75" customHeight="1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ht="15.75" customHeight="1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ht="15.75" customHeight="1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ht="15.75" customHeight="1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ht="15.75" customHeight="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ht="15.75" customHeight="1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ht="15.75" customHeight="1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ht="15.75" customHeight="1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ht="15.75" customHeight="1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ht="15.75" customHeight="1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ht="15.75" customHeight="1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ht="15.75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ht="15.75" customHeight="1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ht="15.75" customHeight="1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ht="15.75" customHeight="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ht="15.75" customHeight="1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ht="15.75" customHeight="1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ht="15.75" customHeight="1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ht="15.75" customHeight="1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ht="15.75" customHeight="1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ht="15.75" customHeight="1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ht="15.75" customHeight="1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ht="15.75" customHeight="1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ht="15.75" customHeight="1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ht="15.75" customHeight="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ht="15.75" customHeight="1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ht="15.75" customHeight="1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ht="15.75" customHeight="1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ht="15.75" customHeight="1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ht="15.75" customHeight="1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ht="15.75" customHeight="1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ht="15.75" customHeight="1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ht="15.75" customHeight="1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ht="15.75" customHeight="1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ht="15.75" customHeight="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ht="15.75" customHeight="1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ht="15.75" customHeight="1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ht="15.75" customHeight="1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ht="15.75" customHeight="1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ht="15.75" customHeight="1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ht="15.75" customHeight="1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ht="15.75" customHeight="1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ht="15.75" customHeight="1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ht="15.75" customHeight="1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ht="15.75" customHeight="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ht="15.75" customHeight="1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ht="15.75" customHeight="1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ht="15.75" customHeight="1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ht="15.75" customHeight="1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ht="15.75" customHeight="1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ht="15.75" customHeight="1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ht="15.75" customHeight="1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ht="15.75" customHeight="1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ht="15.75" customHeight="1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ht="15.75" customHeight="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ht="15.75" customHeight="1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ht="15.75" customHeight="1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ht="15.75" customHeight="1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ht="15.75" customHeight="1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ht="15.75" customHeight="1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ht="15.75" customHeight="1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ht="15.75" customHeight="1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ht="15.75" customHeight="1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ht="15.75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ht="15.75" customHeight="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ht="15.75" customHeight="1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ht="15.75" customHeight="1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ht="15.75" customHeight="1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ht="15.75" customHeight="1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ht="15.75" customHeight="1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ht="15.75" customHeight="1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ht="15.75" customHeight="1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ht="15.75" customHeight="1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ht="15.75" customHeight="1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ht="15.75" customHeight="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ht="15.75" customHeight="1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ht="15.75" customHeight="1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ht="15.75" customHeight="1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ht="15.75" customHeight="1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ht="15.75" customHeight="1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ht="15.75" customHeight="1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ht="15.75" customHeight="1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ht="15.75" customHeight="1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ht="15.75" customHeight="1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ht="15.75" customHeight="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ht="15.75" customHeight="1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ht="15.75" customHeight="1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ht="15.75" customHeight="1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ht="15.75" customHeight="1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ht="15.75" customHeight="1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ht="15.75" customHeight="1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ht="15.75" customHeight="1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ht="15.75" customHeight="1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ht="15.75" customHeight="1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ht="15.75" customHeight="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ht="15.75" customHeight="1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ht="15.75" customHeight="1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ht="15.75" customHeight="1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ht="15.75" customHeight="1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ht="15.75" customHeight="1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ht="15.75" customHeight="1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ht="15.75" customHeight="1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ht="15.75" customHeight="1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ht="15.75" customHeight="1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ht="15.75" customHeight="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ht="15.75" customHeight="1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ht="15.75" customHeight="1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ht="15.75" customHeight="1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ht="15.75" customHeight="1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ht="15.75" customHeight="1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ht="15.75" customHeight="1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ht="15.75" customHeight="1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ht="15.75" customHeight="1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ht="15.75" customHeight="1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ht="15.75" customHeight="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ht="15.75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ht="15.75" customHeight="1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ht="15.75" customHeight="1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ht="15.75" customHeight="1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ht="15.75" customHeight="1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ht="15.75" customHeight="1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ht="15.75" customHeight="1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ht="15.75" customHeight="1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ht="15.75" customHeight="1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ht="15.75" customHeight="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ht="15.75" customHeight="1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ht="15.75" customHeight="1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ht="15.75" customHeight="1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ht="15.75" customHeight="1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ht="15.75" customHeight="1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ht="15.75" customHeight="1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ht="15.75" customHeight="1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ht="15.75" customHeight="1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ht="15.75" customHeight="1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ht="15.75" customHeight="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ht="15.75" customHeight="1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ht="15.75" customHeight="1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ht="15.75" customHeight="1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ht="15.75" customHeight="1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ht="15.75" customHeight="1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ht="15.75" customHeight="1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ht="15.75" customHeight="1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ht="15.75" customHeight="1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ht="15.75" customHeight="1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ht="15.75" customHeight="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ht="15.75" customHeight="1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ht="15.75" customHeight="1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ht="15.75" customHeight="1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ht="15.75" customHeight="1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ht="15.75" customHeight="1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ht="15.75" customHeight="1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ht="15.75" customHeight="1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ht="15.75" customHeight="1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ht="15.75" customHeight="1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ht="15.75" customHeight="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ht="15.75" customHeight="1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ht="15.75" customHeight="1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ht="15.75" customHeight="1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ht="15.75" customHeight="1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ht="15.75" customHeight="1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ht="15.75" customHeight="1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ht="15.75" customHeight="1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ht="15.75" customHeight="1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ht="15.75" customHeight="1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ht="15.75" customHeight="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ht="15.75" customHeight="1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ht="15.75" customHeight="1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ht="15.75" customHeight="1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ht="15.75" customHeight="1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ht="15.75" customHeight="1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ht="15.75" customHeight="1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ht="15.75" customHeight="1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ht="15.75" customHeight="1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ht="15.75" customHeight="1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ht="15.75" customHeight="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ht="15.75" customHeight="1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ht="15.75" customHeight="1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ht="15.75" customHeight="1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ht="15.75" customHeight="1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ht="15.75" customHeight="1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ht="15.75" customHeight="1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ht="15.75" customHeight="1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ht="15.75" customHeight="1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ht="15.75" customHeight="1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ht="15.75" customHeight="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ht="15.75" customHeight="1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ht="15.75" customHeight="1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ht="15.75" customHeight="1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ht="15.75" customHeight="1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ht="15.75" customHeight="1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ht="15.75" customHeight="1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ht="15.75" customHeight="1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ht="15.75" customHeight="1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ht="15.75" customHeight="1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ht="15.75" customHeight="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ht="15.75" customHeight="1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ht="15.75" customHeight="1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ht="15.75" customHeight="1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ht="15.75" customHeight="1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ht="15.75" customHeight="1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ht="15.75" customHeight="1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ht="15.75" customHeight="1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ht="15.75" customHeight="1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ht="15.75" customHeight="1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ht="15.75" customHeight="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ht="15.75" customHeight="1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ht="15.75" customHeight="1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ht="15.75" customHeight="1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ht="15.75" customHeight="1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ht="15.75" customHeight="1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ht="15.75" customHeight="1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ht="15.75" customHeight="1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ht="15.75" customHeight="1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ht="15.75" customHeight="1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ht="15.75" customHeight="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ht="15.75" customHeight="1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ht="15.75" customHeight="1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ht="15.75" customHeight="1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ht="15.75" customHeight="1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ht="15.75" customHeight="1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ht="15.75" customHeight="1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ht="15.75" customHeight="1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ht="15.75" customHeight="1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ht="15.75" customHeight="1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ht="15.75" customHeight="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ht="15.75" customHeight="1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ht="15.75" customHeight="1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ht="15.75" customHeight="1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ht="15.75" customHeight="1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ht="15.75" customHeight="1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ht="15.75" customHeight="1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ht="15.75" customHeight="1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ht="15.75" customHeight="1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ht="15.75" customHeight="1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ht="15.75" customHeight="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ht="15.75" customHeight="1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ht="15.75" customHeight="1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ht="15.75" customHeight="1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ht="15.75" customHeight="1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ht="15.75" customHeight="1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ht="15.75" customHeight="1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ht="15.75" customHeight="1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ht="15.75" customHeight="1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ht="15.75" customHeight="1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ht="15.75" customHeight="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ht="15.75" customHeight="1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ht="15.75" customHeight="1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ht="15.75" customHeight="1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ht="15.75" customHeight="1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ht="15.75" customHeight="1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ht="15.75" customHeight="1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ht="15.75" customHeight="1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ht="15.75" customHeight="1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ht="15.75" customHeight="1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ht="15.75" customHeight="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ht="15.75" customHeight="1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ht="15.75" customHeight="1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ht="15.75" customHeight="1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ht="15.75" customHeight="1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ht="15.75" customHeight="1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ht="15.75" customHeight="1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ht="15.75" customHeight="1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ht="15.75" customHeight="1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ht="15.75" customHeight="1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ht="15.75" customHeight="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ht="15.75" customHeight="1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ht="15.75" customHeight="1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ht="15.75" customHeight="1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ht="15.75" customHeight="1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ht="15.75" customHeight="1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ht="15.75" customHeight="1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ht="15.75" customHeight="1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ht="15.75" customHeight="1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ht="15.75" customHeight="1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ht="15.75" customHeight="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ht="15.75" customHeight="1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ht="15.75" customHeight="1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ht="15.75" customHeight="1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ht="15.75" customHeight="1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ht="15.75" customHeight="1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ht="15.75" customHeight="1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ht="15.75" customHeight="1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ht="15.75" customHeight="1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ht="15.75" customHeight="1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ht="15.75" customHeight="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ht="15.75" customHeight="1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ht="15.75" customHeight="1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ht="15.75" customHeight="1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ht="15.75" customHeight="1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ht="15.75" customHeight="1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ht="15.75" customHeight="1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ht="15.75" customHeight="1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ht="15.75" customHeight="1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ht="15.75" customHeight="1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ht="15.75" customHeight="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ht="15.75" customHeight="1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ht="15.75" customHeight="1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ht="15.75" customHeight="1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ht="15.75" customHeight="1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ht="15.75" customHeight="1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ht="15.75" customHeight="1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ht="15.75" customHeight="1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ht="15.75" customHeight="1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ht="15.75" customHeight="1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ht="15.75" customHeight="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ht="15.75" customHeight="1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ht="15.75" customHeight="1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ht="15.75" customHeight="1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ht="15.75" customHeight="1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ht="15.75" customHeight="1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ht="15.75" customHeight="1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ht="15.75" customHeight="1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ht="15.75" customHeight="1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ht="15.75" customHeight="1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ht="15.75" customHeight="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ht="15.75" customHeight="1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ht="15.75" customHeight="1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ht="15.75" customHeight="1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ht="15.75" customHeight="1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ht="15.75" customHeight="1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ht="15.75" customHeight="1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ht="15.75" customHeight="1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ht="15.75" customHeight="1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ht="15.75" customHeight="1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ht="15.75" customHeight="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ht="15.75" customHeight="1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ht="15.75" customHeight="1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ht="15.75" customHeight="1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ht="15.75" customHeight="1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ht="15.75" customHeight="1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ht="15.75" customHeight="1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ht="15.75" customHeight="1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ht="15.75" customHeight="1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ht="15.75" customHeight="1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ht="15.75" customHeight="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ht="15.75" customHeight="1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ht="15.75" customHeight="1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ht="15.75" customHeight="1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ht="15.75" customHeight="1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ht="15.75" customHeight="1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ht="15.75" customHeight="1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ht="15.75" customHeight="1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ht="15.75" customHeight="1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ht="15.75" customHeight="1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ht="15.75" customHeight="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ht="15.75" customHeight="1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ht="15.75" customHeight="1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ht="15.75" customHeight="1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ht="15.75" customHeight="1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ht="15.75" customHeight="1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ht="15.75" customHeight="1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ht="15.75" customHeight="1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ht="15.75" customHeight="1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ht="15.75" customHeight="1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ht="15.75" customHeight="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ht="15.75" customHeight="1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ht="15.75" customHeight="1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ht="15.75" customHeight="1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ht="15.75" customHeight="1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ht="15.75" customHeight="1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ht="15.75" customHeight="1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ht="15.75" customHeight="1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ht="15.75" customHeight="1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ht="15.75" customHeight="1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ht="15.75" customHeight="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ht="15.75" customHeight="1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ht="15.75" customHeight="1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ht="15.75" customHeight="1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ht="15.75" customHeight="1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ht="15.75" customHeight="1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ht="15.75" customHeight="1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ht="15.75" customHeight="1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ht="15.75" customHeight="1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ht="15.75" customHeight="1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ht="15.75" customHeight="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ht="15.75" customHeight="1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ht="15.75" customHeight="1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ht="15.75" customHeight="1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ht="15.75" customHeight="1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ht="15.75" customHeight="1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ht="15.75" customHeight="1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ht="15.75" customHeight="1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ht="15.75" customHeight="1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ht="15.75" customHeight="1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ht="15.75" customHeight="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ht="15.75" customHeight="1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ht="15.75" customHeight="1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ht="15.75" customHeight="1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ht="15.75" customHeight="1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ht="15.75" customHeight="1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ht="15.75" customHeight="1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ht="15.75" customHeight="1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ht="15.75" customHeight="1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ht="15.75" customHeight="1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ht="15.75" customHeight="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ht="15.75" customHeight="1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ht="15.75" customHeight="1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ht="15.75" customHeight="1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ht="15.75" customHeight="1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ht="15.75" customHeight="1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ht="15.75" customHeight="1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ht="15.75" customHeight="1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ht="15.75" customHeight="1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ht="15.75" customHeight="1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ht="15.75" customHeight="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ht="15.75" customHeight="1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ht="15.75" customHeight="1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ht="15.75" customHeight="1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ht="15.75" customHeight="1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ht="15.75" customHeight="1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ht="15.75" customHeight="1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ht="15.75" customHeight="1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ht="15.75" customHeight="1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ht="15.75" customHeight="1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ht="15.75" customHeight="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ht="15.75" customHeight="1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ht="15.75" customHeight="1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ht="15.75" customHeight="1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ht="15.75" customHeight="1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ht="15.75" customHeight="1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ht="15.75" customHeight="1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ht="15.75" customHeight="1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ht="15.75" customHeight="1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ht="15.75" customHeight="1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ht="15.75" customHeight="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ht="15.75" customHeight="1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ht="15.75" customHeight="1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ht="15.75" customHeight="1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ht="15.75" customHeight="1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ht="15.75" customHeight="1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ht="15.75" customHeight="1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ht="15.75" customHeight="1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ht="15.75" customHeight="1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ht="15.75" customHeight="1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ht="15.75" customHeight="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ht="15.75" customHeight="1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ht="15.75" customHeight="1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ht="15.75" customHeight="1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ht="15.75" customHeight="1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ht="15.75" customHeight="1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ht="15.75" customHeight="1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ht="15.75" customHeight="1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ht="15.75" customHeight="1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ht="15.75" customHeight="1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ht="15.75" customHeight="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ht="15.75" customHeight="1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ht="15.75" customHeight="1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ht="15.75" customHeight="1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ht="15.75" customHeight="1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ht="15.75" customHeight="1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ht="15.75" customHeight="1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ht="15.75" customHeight="1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ht="15.75" customHeight="1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ht="15.75" customHeight="1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ht="15.75" customHeight="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ht="15.75" customHeight="1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ht="15.75" customHeight="1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ht="15.75" customHeight="1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ht="15.75" customHeight="1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ht="15.75" customHeight="1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ht="15.75" customHeight="1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ht="15.75" customHeight="1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ht="15.75" customHeight="1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ht="15.75" customHeight="1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ht="15.75" customHeight="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ht="15.75" customHeight="1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ht="15.75" customHeight="1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ht="15.75" customHeight="1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ht="15.75" customHeight="1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ht="15.75" customHeight="1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ht="15.75" customHeight="1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ht="15.75" customHeight="1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ht="15.75" customHeight="1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ht="15.75" customHeight="1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ht="15.75" customHeight="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ht="15.75" customHeight="1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ht="15.75" customHeight="1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ht="15.75" customHeight="1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ht="15.75" customHeight="1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ht="15.75" customHeight="1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ht="15.75" customHeight="1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ht="15.75" customHeight="1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ht="15.75" customHeight="1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ht="15.75" customHeight="1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ht="15.75" customHeight="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ht="15.75" customHeight="1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ht="15.75" customHeight="1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ht="15.75" customHeight="1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ht="15.75" customHeight="1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ht="15.75" customHeight="1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ht="15.75" customHeight="1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ht="15.75" customHeight="1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ht="15.75" customHeight="1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ht="15.75" customHeight="1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ht="15.75" customHeight="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ht="15.75" customHeight="1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ht="15.75" customHeight="1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ht="15.75" customHeight="1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ht="15.75" customHeight="1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ht="15.75" customHeight="1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ht="15.75" customHeight="1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ht="15.75" customHeight="1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ht="15.75" customHeight="1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ht="15.75" customHeight="1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ht="15.75" customHeight="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ht="15.75" customHeight="1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ht="15.75" customHeight="1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ht="15.75" customHeight="1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ht="15.75" customHeight="1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ht="15.75" customHeight="1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ht="15.75" customHeight="1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ht="15.75" customHeight="1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ht="15.75" customHeight="1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ht="15.75" customHeight="1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ht="15.75" customHeight="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ht="15.75" customHeight="1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ht="15.75" customHeight="1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ht="15.75" customHeight="1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ht="15.75" customHeight="1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ht="15.75" customHeight="1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ht="15.75" customHeight="1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ht="15.75" customHeight="1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ht="15.75" customHeight="1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ht="15.75" customHeight="1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ht="15.75" customHeight="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ht="15.75" customHeight="1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ht="15.75" customHeight="1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ht="15.75" customHeight="1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ht="15.75" customHeight="1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ht="15.75" customHeight="1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ht="15.75" customHeight="1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ht="15.75" customHeight="1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ht="15.75" customHeight="1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ht="15.75" customHeight="1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ht="15.75" customHeight="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ht="15.75" customHeight="1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ht="15.75" customHeight="1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ht="15.75" customHeight="1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ht="15.75" customHeight="1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ht="15.75" customHeight="1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ht="15.75" customHeight="1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ht="15.75" customHeight="1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ht="15.75" customHeight="1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ht="15.75" customHeight="1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ht="15.75" customHeight="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ht="15.75" customHeight="1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ht="15.75" customHeight="1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ht="15.75" customHeight="1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ht="15.75" customHeight="1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ht="15.75" customHeight="1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ht="15.75" customHeight="1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ht="15.75" customHeight="1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ht="15.75" customHeight="1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ht="15.75" customHeight="1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ht="15.75" customHeight="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ht="15.75" customHeight="1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ht="15.75" customHeight="1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ht="15.75" customHeight="1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ht="15.75" customHeight="1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ht="15.75" customHeight="1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ht="15.75" customHeight="1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ht="15.75" customHeight="1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ht="15.75" customHeight="1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ht="15.75" customHeight="1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ht="15.75" customHeight="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ht="15.75" customHeight="1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ht="15.75" customHeight="1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ht="15.75" customHeight="1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ht="15.75" customHeight="1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ht="15.75" customHeight="1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ht="15.75" customHeight="1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ht="15.75" customHeight="1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ht="15.75" customHeight="1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ht="15.75" customHeight="1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ht="15.75" customHeight="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ht="15.75" customHeight="1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ht="15.75" customHeight="1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ht="15.75" customHeight="1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ht="15.75" customHeight="1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ht="15.75" customHeight="1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ht="15.75" customHeight="1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ht="15.75" customHeight="1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ht="15.75" customHeight="1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ht="15.75" customHeight="1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mergeCells count="18">
    <mergeCell ref="B1:D1"/>
    <mergeCell ref="A16:F16"/>
    <mergeCell ref="D17:F17"/>
    <mergeCell ref="D18:F18"/>
    <mergeCell ref="D19:F19"/>
    <mergeCell ref="D20:F20"/>
    <mergeCell ref="D21:F21"/>
    <mergeCell ref="D29:F29"/>
    <mergeCell ref="D30:F30"/>
    <mergeCell ref="D31:F31"/>
    <mergeCell ref="D32:F32"/>
    <mergeCell ref="D22:F22"/>
    <mergeCell ref="D23:F23"/>
    <mergeCell ref="D24:F24"/>
    <mergeCell ref="D25:F25"/>
    <mergeCell ref="D26:F26"/>
    <mergeCell ref="D27:F27"/>
    <mergeCell ref="D28:F28"/>
  </mergeCells>
  <drawing r:id="rId1"/>
</worksheet>
</file>